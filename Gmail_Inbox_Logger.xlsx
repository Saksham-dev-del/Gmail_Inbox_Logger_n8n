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mail_Inbox_Logger\"/>
    </mc:Choice>
  </mc:AlternateContent>
  <xr:revisionPtr revIDLastSave="0" documentId="13_ncr:1_{C9203A25-9C0F-4F04-84C4-73AB565100C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ogs" sheetId="4" r:id="rId1"/>
    <sheet name="📊 Dashboard" sheetId="2" r:id="rId2"/>
    <sheet name="🔧 n8n Setup Guide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C14" i="2" s="1"/>
  <c r="B13" i="2"/>
  <c r="C13" i="2" s="1"/>
  <c r="B12" i="2"/>
  <c r="C12" i="2" s="1"/>
  <c r="B11" i="2"/>
  <c r="C11" i="2" s="1"/>
  <c r="F10" i="2"/>
  <c r="G10" i="2" s="1"/>
  <c r="B10" i="2"/>
  <c r="C10" i="2" s="1"/>
  <c r="F9" i="2"/>
  <c r="G9" i="2" s="1"/>
  <c r="B9" i="2"/>
  <c r="C9" i="2" s="1"/>
  <c r="K5" i="2"/>
  <c r="I5" i="2"/>
  <c r="G5" i="2"/>
  <c r="E5" i="2"/>
  <c r="C5" i="2"/>
  <c r="A5" i="2"/>
</calcChain>
</file>

<file path=xl/sharedStrings.xml><?xml version="1.0" encoding="utf-8"?>
<sst xmlns="http://schemas.openxmlformats.org/spreadsheetml/2006/main" count="230" uniqueCount="170">
  <si>
    <t>📅 Date</t>
  </si>
  <si>
    <t>⏰ Time</t>
  </si>
  <si>
    <t>👤 Sender Name</t>
  </si>
  <si>
    <t>📮 Sender Email</t>
  </si>
  <si>
    <t>📝 Subject</t>
  </si>
  <si>
    <t>🔍 Preview</t>
  </si>
  <si>
    <t>🏷️ Label</t>
  </si>
  <si>
    <t>✅ Status</t>
  </si>
  <si>
    <t>12 Jun 2025</t>
  </si>
  <si>
    <t>09:14 AM</t>
  </si>
  <si>
    <t>Google</t>
  </si>
  <si>
    <t>no-reply@google.com</t>
  </si>
  <si>
    <t>Security alert for your account</t>
  </si>
  <si>
    <t>A new sign-in to your Google Account</t>
  </si>
  <si>
    <t>Inbox</t>
  </si>
  <si>
    <t>Read</t>
  </si>
  <si>
    <t>09:31 AM</t>
  </si>
  <si>
    <t>Amazon India</t>
  </si>
  <si>
    <t>order-update@amazon.in</t>
  </si>
  <si>
    <t>Your order has been shipped! 📦</t>
  </si>
  <si>
    <t>Your order #402-8923 is on the way</t>
  </si>
  <si>
    <t>Orders</t>
  </si>
  <si>
    <t>Unread</t>
  </si>
  <si>
    <t>10:05 AM</t>
  </si>
  <si>
    <t>Rahul Sharma</t>
  </si>
  <si>
    <t>rahul.s@company.com</t>
  </si>
  <si>
    <t>Meeting rescheduled to 3 PM today</t>
  </si>
  <si>
    <t>Hi, the standup is moved from 11 to 3 PM</t>
  </si>
  <si>
    <t>Work</t>
  </si>
  <si>
    <t>10:47 AM</t>
  </si>
  <si>
    <t>LinkedIn</t>
  </si>
  <si>
    <t>messages-noreply@linkedin.com</t>
  </si>
  <si>
    <t>You have 3 new connection requests</t>
  </si>
  <si>
    <t>Priya Patel and 2 others want to connect</t>
  </si>
  <si>
    <t>Social</t>
  </si>
  <si>
    <t>11:15 AM</t>
  </si>
  <si>
    <t>Paytm</t>
  </si>
  <si>
    <t>noreply@paytm.com</t>
  </si>
  <si>
    <t>Payment of ₹499 successful</t>
  </si>
  <si>
    <t>Your payment to Netflix was successful</t>
  </si>
  <si>
    <t>Finance</t>
  </si>
  <si>
    <t>12:00 PM</t>
  </si>
  <si>
    <t>GitHub</t>
  </si>
  <si>
    <t>notifications@github.com</t>
  </si>
  <si>
    <t>New issue opened on your repo</t>
  </si>
  <si>
    <t>[n8n-project] Issue #14: Webhook not firing</t>
  </si>
  <si>
    <t>12:38 PM</t>
  </si>
  <si>
    <t>Swiggy</t>
  </si>
  <si>
    <t>no-reply@swiggy.in</t>
  </si>
  <si>
    <t>Your order is on the way! 🛵</t>
  </si>
  <si>
    <t>Your Biryani will arrive in 25 minutes</t>
  </si>
  <si>
    <t>01:10 PM</t>
  </si>
  <si>
    <t>Priya Patel</t>
  </si>
  <si>
    <t>priya.p@startup.io</t>
  </si>
  <si>
    <t>Re: Project proposal — looks great!</t>
  </si>
  <si>
    <t>Thanks for sharing! I reviewed the deck...</t>
  </si>
  <si>
    <t>02:20 PM</t>
  </si>
  <si>
    <t>Notion</t>
  </si>
  <si>
    <t>hello@mail.notion.so</t>
  </si>
  <si>
    <t>Your weekly digest is here 📋</t>
  </si>
  <si>
    <t>Here's what happened in your workspace</t>
  </si>
  <si>
    <t>Apps</t>
  </si>
  <si>
    <t>03:05 PM</t>
  </si>
  <si>
    <t>HDFC Bank</t>
  </si>
  <si>
    <t>alerts@hdfcbank.net</t>
  </si>
  <si>
    <t>Transaction Alert: ₹2,000 debited</t>
  </si>
  <si>
    <t>Your account ending 4821 debited ₹2,000</t>
  </si>
  <si>
    <t>03:45 PM</t>
  </si>
  <si>
    <t>Coursera</t>
  </si>
  <si>
    <t>no-reply@coursera.org</t>
  </si>
  <si>
    <t>New course recommendation for you</t>
  </si>
  <si>
    <t>Based on your interests: Python for AI</t>
  </si>
  <si>
    <t>04:20 PM</t>
  </si>
  <si>
    <t>Arjun Mehta</t>
  </si>
  <si>
    <t>arjun.m@freelance.com</t>
  </si>
  <si>
    <t>Invoice #INV-2025-047 sent</t>
  </si>
  <si>
    <t>Please find attached invoice for ₹15,000</t>
  </si>
  <si>
    <t>05:00 PM</t>
  </si>
  <si>
    <t>YouTube</t>
  </si>
  <si>
    <t>no-reply@youtube.com</t>
  </si>
  <si>
    <t>New video from channels you follow</t>
  </si>
  <si>
    <t>n8n Tutorial: Build AI Agents in 2025</t>
  </si>
  <si>
    <t>05:30 PM</t>
  </si>
  <si>
    <t>Zerodha</t>
  </si>
  <si>
    <t>no-reply@zerodha.com</t>
  </si>
  <si>
    <t>Your portfolio is up 2.3% today 📈</t>
  </si>
  <si>
    <t>NIFTY closed at 24,320. Your P&amp;L: +₹4,200</t>
  </si>
  <si>
    <t>06:15 PM</t>
  </si>
  <si>
    <t>Google Workspace</t>
  </si>
  <si>
    <t>workspace@google.com</t>
  </si>
  <si>
    <t>Storage almost full — 89% used</t>
  </si>
  <si>
    <t>You have used 13.5 GB of your 15 GB</t>
  </si>
  <si>
    <t>📊  Gmail Analytics Dashboard</t>
  </si>
  <si>
    <t>Live stats from your Gmail Log — updates automatically with n8n</t>
  </si>
  <si>
    <t>📧  Total Emails</t>
  </si>
  <si>
    <t>🔴  Unread</t>
  </si>
  <si>
    <t>✅  Read</t>
  </si>
  <si>
    <t>💼  Work Emails</t>
  </si>
  <si>
    <t>💰  Finance Emails</t>
  </si>
  <si>
    <t>📦  Orders</t>
  </si>
  <si>
    <t>🏷️  Emails by Label</t>
  </si>
  <si>
    <t>✅  Read vs Unread</t>
  </si>
  <si>
    <t>👤  Top Senders (Sample)</t>
  </si>
  <si>
    <t>Label</t>
  </si>
  <si>
    <t>Count</t>
  </si>
  <si>
    <t>% Share</t>
  </si>
  <si>
    <t>Status</t>
  </si>
  <si>
    <t>Sender</t>
  </si>
  <si>
    <t>Emails</t>
  </si>
  <si>
    <t>💡  Pro Tips: Filter emails by Label or Status using the dropdown filters in Gmail Log sheet  |  Refresh n8n workflow to sync latest emails  |  Add new labels in n8n IF node</t>
  </si>
  <si>
    <t>🔧  n8n Workflow Setup Guide — Gmail Inbox Logger</t>
  </si>
  <si>
    <t>Follow these steps to connect n8n → Gmail → Google Sheets</t>
  </si>
  <si>
    <t>STEP</t>
  </si>
  <si>
    <t>ACTION</t>
  </si>
  <si>
    <t>DETAILS</t>
  </si>
  <si>
    <t>1</t>
  </si>
  <si>
    <t>Import Workflow JSON</t>
  </si>
  <si>
    <t>n8n mein Workflows → + New → ••• menu → Import from file → Select 'gmail_logger_workflow.json'</t>
  </si>
  <si>
    <t>2</t>
  </si>
  <si>
    <t>Setup Gmail Credential</t>
  </si>
  <si>
    <t>Gmail node double-click → Credentials → Create New → Sign in with Google → Allow permissions</t>
  </si>
  <si>
    <t>3</t>
  </si>
  <si>
    <t>Setup Sheets Credential</t>
  </si>
  <si>
    <t>Google Sheets node → Credentials → Create New → Same Google account → Allow</t>
  </si>
  <si>
    <t>4</t>
  </si>
  <si>
    <t>Select Your Sheet</t>
  </si>
  <si>
    <t>Google Sheets node → Document → Search 'Gmail Inbox Log' → Select → Sheet: Sheet1</t>
  </si>
  <si>
    <t>5</t>
  </si>
  <si>
    <t>Map Columns</t>
  </si>
  <si>
    <t>Mapping: Date→Date | Time→Time | Sender→Sender Name | Email→Sender Email | Subject→Subject | Preview→Preview</t>
  </si>
  <si>
    <t>6</t>
  </si>
  <si>
    <t>Test Workflow</t>
  </si>
  <si>
    <t>Top bar → 'Test Workflow' button → Green ticks = Success → Check your sheet!</t>
  </si>
  <si>
    <t>7</t>
  </si>
  <si>
    <t>Activate</t>
  </si>
  <si>
    <t>Top right Toggle → ON (Blue) → Workflow runs every 15 minutes automatically</t>
  </si>
  <si>
    <t>8</t>
  </si>
  <si>
    <t>Verify</t>
  </si>
  <si>
    <t>Open Gmail Inbox Log sheet → New rows appear automatically every 15 min 🎉</t>
  </si>
  <si>
    <t>⚙️  Node Configuration Reference</t>
  </si>
  <si>
    <t>NODE</t>
  </si>
  <si>
    <t>SETTING</t>
  </si>
  <si>
    <t>VALUE</t>
  </si>
  <si>
    <t>Schedule Trigger</t>
  </si>
  <si>
    <t>Interval</t>
  </si>
  <si>
    <t>Every 15 Minutes</t>
  </si>
  <si>
    <t>Gmail</t>
  </si>
  <si>
    <t>Operation</t>
  </si>
  <si>
    <t>Get Many Messages</t>
  </si>
  <si>
    <t>Filters → Read Status</t>
  </si>
  <si>
    <t>Unread Only</t>
  </si>
  <si>
    <t>Limit</t>
  </si>
  <si>
    <t>10 emails per run</t>
  </si>
  <si>
    <t>Simplify</t>
  </si>
  <si>
    <t>ON ✅</t>
  </si>
  <si>
    <t>Edit Fields</t>
  </si>
  <si>
    <t>Date field</t>
  </si>
  <si>
    <t xml:space="preserve"> {{ new Date().toLocaleDateString('en-IN') }}</t>
  </si>
  <si>
    <t>Time field</t>
  </si>
  <si>
    <t xml:space="preserve"> {{ new Date().toLocaleTimeString('en-IN') }}</t>
  </si>
  <si>
    <t>Sender field</t>
  </si>
  <si>
    <t xml:space="preserve"> {{ $json.from }}</t>
  </si>
  <si>
    <t>Subject field</t>
  </si>
  <si>
    <t xml:space="preserve"> {{ $json.subject }}</t>
  </si>
  <si>
    <t>Preview field</t>
  </si>
  <si>
    <t xml:space="preserve"> {{ $json.snippet }}</t>
  </si>
  <si>
    <t>Google Sheets</t>
  </si>
  <si>
    <t>Append Row</t>
  </si>
  <si>
    <t>Column Mode</t>
  </si>
  <si>
    <t>Map Each Column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</si>
</sst>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94A3B8"/>
      <name val="Arial"/>
      <charset val="1"/>
    </font>
    <font>
      <b/>
      <sz val="11"/>
      <color rgb="FFFFFFFF"/>
      <name val="Arial"/>
      <charset val="1"/>
    </font>
    <font>
      <sz val="10"/>
      <color rgb="FF0F172A"/>
      <name val="Arial"/>
      <charset val="1"/>
    </font>
    <font>
      <b/>
      <sz val="10"/>
      <color rgb="FF0F172A"/>
      <name val="Arial"/>
      <charset val="1"/>
    </font>
    <font>
      <b/>
      <sz val="10"/>
      <color rgb="FF16A34A"/>
      <name val="Arial"/>
      <charset val="1"/>
    </font>
    <font>
      <b/>
      <sz val="10"/>
      <color rgb="FFDC2626"/>
      <name val="Arial"/>
      <charset val="1"/>
    </font>
    <font>
      <b/>
      <sz val="10"/>
      <color rgb="FFEA580C"/>
      <name val="Arial"/>
      <charset val="1"/>
    </font>
    <font>
      <b/>
      <sz val="22"/>
      <color rgb="FF0F172A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5"/>
      <color rgb="FFFFFFFF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E293B"/>
        <bgColor rgb="FF0F172A"/>
      </patternFill>
    </fill>
    <fill>
      <patternFill patternType="solid">
        <fgColor rgb="FF0F172A"/>
        <bgColor rgb="FF1E293B"/>
      </patternFill>
    </fill>
    <fill>
      <patternFill patternType="solid">
        <fgColor rgb="FFEA580C"/>
        <bgColor rgb="FFDC2626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DCFCE7"/>
        <bgColor rgb="FFF0FDF4"/>
      </patternFill>
    </fill>
    <fill>
      <patternFill patternType="solid">
        <fgColor rgb="FFFEF9C3"/>
        <bgColor rgb="FFFFF7ED"/>
      </patternFill>
    </fill>
    <fill>
      <patternFill patternType="solid">
        <fgColor rgb="FFFEE2E2"/>
        <bgColor rgb="FFFCE7F3"/>
      </patternFill>
    </fill>
    <fill>
      <patternFill patternType="solid">
        <fgColor rgb="FFDBEAFE"/>
        <bgColor rgb="FFE2E8F0"/>
      </patternFill>
    </fill>
    <fill>
      <patternFill patternType="solid">
        <fgColor rgb="FFFCE7F3"/>
        <bgColor rgb="FFFEE2E2"/>
      </patternFill>
    </fill>
    <fill>
      <patternFill patternType="solid">
        <fgColor rgb="FFF5F3FF"/>
        <bgColor rgb="FFEFF6FF"/>
      </patternFill>
    </fill>
    <fill>
      <patternFill patternType="solid">
        <fgColor rgb="FF1D4ED8"/>
        <bgColor rgb="FF3366FF"/>
      </patternFill>
    </fill>
    <fill>
      <patternFill patternType="solid">
        <fgColor rgb="FF16A34A"/>
        <bgColor rgb="FF008080"/>
      </patternFill>
    </fill>
    <fill>
      <patternFill patternType="solid">
        <fgColor rgb="FFFFF7ED"/>
        <bgColor rgb="FFF8FAFC"/>
      </patternFill>
    </fill>
    <fill>
      <patternFill patternType="solid">
        <fgColor rgb="FFEFF6FF"/>
        <bgColor rgb="FFF5F3FF"/>
      </patternFill>
    </fill>
    <fill>
      <patternFill patternType="solid">
        <fgColor rgb="FFF0FDF4"/>
        <b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EA580C"/>
      </left>
      <right/>
      <top style="medium">
        <color rgb="FFEA580C"/>
      </top>
      <bottom style="medium">
        <color rgb="FFEA580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2" fillId="2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7F3"/>
      <rgbColor rgb="FF808080"/>
      <rgbColor rgb="FF9999FF"/>
      <rgbColor rgb="FF993366"/>
      <rgbColor rgb="FFFEF9C3"/>
      <rgbColor rgb="FFDCFCE7"/>
      <rgbColor rgb="FF660066"/>
      <rgbColor rgb="FFFF8080"/>
      <rgbColor rgb="FF1D4ED8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0FDF4"/>
      <rgbColor rgb="FFFFF7ED"/>
      <rgbColor rgb="FFEFF6FF"/>
      <rgbColor rgb="FFF5F3FF"/>
      <rgbColor rgb="FFF8FAFC"/>
      <rgbColor rgb="FFFEE2E2"/>
      <rgbColor rgb="FF3366FF"/>
      <rgbColor rgb="FF33CCCC"/>
      <rgbColor rgb="FF99CC00"/>
      <rgbColor rgb="FFFFCC00"/>
      <rgbColor rgb="FFFF9900"/>
      <rgbColor rgb="FFEA580C"/>
      <rgbColor rgb="FF666699"/>
      <rgbColor rgb="FF94A3B8"/>
      <rgbColor rgb="FF003366"/>
      <rgbColor rgb="FF16A34A"/>
      <rgbColor rgb="FF0F172A"/>
      <rgbColor rgb="FF333300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852BB-5508-442E-A11A-02B24C057702}">
  <dimension ref="A1:H16"/>
  <sheetViews>
    <sheetView tabSelected="1" zoomScale="54" workbookViewId="0"/>
  </sheetViews>
  <sheetFormatPr defaultRowHeight="14.4" x14ac:dyDescent="0.3"/>
  <cols>
    <col min="1" max="1" width="36.77734375" customWidth="1"/>
    <col min="2" max="2" width="42.77734375" customWidth="1"/>
    <col min="3" max="3" width="48.77734375" customWidth="1"/>
    <col min="4" max="4" width="57.109375" customWidth="1"/>
    <col min="5" max="5" width="64.88671875" customWidth="1"/>
    <col min="6" max="6" width="66.77734375" customWidth="1"/>
    <col min="7" max="7" width="68.77734375" customWidth="1"/>
    <col min="8" max="8" width="77.6640625" customWidth="1"/>
  </cols>
  <sheetData>
    <row r="1" spans="1:8" ht="41.4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ht="66" x14ac:dyDescent="0.3">
      <c r="A2" s="15" t="s">
        <v>8</v>
      </c>
      <c r="B2" s="15" t="s">
        <v>9</v>
      </c>
      <c r="C2" s="16" t="s">
        <v>10</v>
      </c>
      <c r="D2" s="16" t="s">
        <v>11</v>
      </c>
      <c r="E2" s="16" t="s">
        <v>12</v>
      </c>
      <c r="F2" s="16" t="s">
        <v>13</v>
      </c>
      <c r="G2" s="17" t="s">
        <v>14</v>
      </c>
      <c r="H2" s="18" t="s">
        <v>15</v>
      </c>
    </row>
    <row r="3" spans="1:8" ht="79.2" x14ac:dyDescent="0.3">
      <c r="A3" s="19" t="s">
        <v>8</v>
      </c>
      <c r="B3" s="19" t="s">
        <v>16</v>
      </c>
      <c r="C3" s="20" t="s">
        <v>17</v>
      </c>
      <c r="D3" s="20" t="s">
        <v>18</v>
      </c>
      <c r="E3" s="20" t="s">
        <v>19</v>
      </c>
      <c r="F3" s="20" t="s">
        <v>20</v>
      </c>
      <c r="G3" s="21" t="s">
        <v>21</v>
      </c>
      <c r="H3" s="22" t="s">
        <v>22</v>
      </c>
    </row>
    <row r="4" spans="1:8" ht="66" x14ac:dyDescent="0.3">
      <c r="A4" s="15" t="s">
        <v>8</v>
      </c>
      <c r="B4" s="15" t="s">
        <v>23</v>
      </c>
      <c r="C4" s="16" t="s">
        <v>24</v>
      </c>
      <c r="D4" s="16" t="s">
        <v>25</v>
      </c>
      <c r="E4" s="16" t="s">
        <v>26</v>
      </c>
      <c r="F4" s="16" t="s">
        <v>27</v>
      </c>
      <c r="G4" s="23" t="s">
        <v>28</v>
      </c>
      <c r="H4" s="18" t="s">
        <v>15</v>
      </c>
    </row>
    <row r="5" spans="1:8" ht="79.2" x14ac:dyDescent="0.3">
      <c r="A5" s="19" t="s">
        <v>8</v>
      </c>
      <c r="B5" s="19" t="s">
        <v>29</v>
      </c>
      <c r="C5" s="20" t="s">
        <v>30</v>
      </c>
      <c r="D5" s="20" t="s">
        <v>31</v>
      </c>
      <c r="E5" s="20" t="s">
        <v>32</v>
      </c>
      <c r="F5" s="20" t="s">
        <v>33</v>
      </c>
      <c r="G5" s="24" t="s">
        <v>34</v>
      </c>
      <c r="H5" s="22" t="s">
        <v>22</v>
      </c>
    </row>
    <row r="6" spans="1:8" ht="79.2" x14ac:dyDescent="0.3">
      <c r="A6" s="15" t="s">
        <v>8</v>
      </c>
      <c r="B6" s="15" t="s">
        <v>35</v>
      </c>
      <c r="C6" s="16" t="s">
        <v>36</v>
      </c>
      <c r="D6" s="16" t="s">
        <v>37</v>
      </c>
      <c r="E6" s="16" t="s">
        <v>38</v>
      </c>
      <c r="F6" s="16" t="s">
        <v>39</v>
      </c>
      <c r="G6" s="25" t="s">
        <v>40</v>
      </c>
      <c r="H6" s="18" t="s">
        <v>15</v>
      </c>
    </row>
    <row r="7" spans="1:8" ht="79.2" x14ac:dyDescent="0.3">
      <c r="A7" s="19" t="s">
        <v>8</v>
      </c>
      <c r="B7" s="19" t="s">
        <v>41</v>
      </c>
      <c r="C7" s="20" t="s">
        <v>42</v>
      </c>
      <c r="D7" s="20" t="s">
        <v>43</v>
      </c>
      <c r="E7" s="20" t="s">
        <v>44</v>
      </c>
      <c r="F7" s="20" t="s">
        <v>45</v>
      </c>
      <c r="G7" s="23" t="s">
        <v>28</v>
      </c>
      <c r="H7" s="22" t="s">
        <v>22</v>
      </c>
    </row>
    <row r="8" spans="1:8" ht="79.2" x14ac:dyDescent="0.3">
      <c r="A8" s="15" t="s">
        <v>8</v>
      </c>
      <c r="B8" s="15" t="s">
        <v>46</v>
      </c>
      <c r="C8" s="16" t="s">
        <v>47</v>
      </c>
      <c r="D8" s="16" t="s">
        <v>48</v>
      </c>
      <c r="E8" s="16" t="s">
        <v>49</v>
      </c>
      <c r="F8" s="16" t="s">
        <v>50</v>
      </c>
      <c r="G8" s="21" t="s">
        <v>21</v>
      </c>
      <c r="H8" s="18" t="s">
        <v>15</v>
      </c>
    </row>
    <row r="9" spans="1:8" ht="92.4" x14ac:dyDescent="0.3">
      <c r="A9" s="19" t="s">
        <v>8</v>
      </c>
      <c r="B9" s="19" t="s">
        <v>51</v>
      </c>
      <c r="C9" s="20" t="s">
        <v>52</v>
      </c>
      <c r="D9" s="20" t="s">
        <v>53</v>
      </c>
      <c r="E9" s="20" t="s">
        <v>54</v>
      </c>
      <c r="F9" s="20" t="s">
        <v>55</v>
      </c>
      <c r="G9" s="23" t="s">
        <v>28</v>
      </c>
      <c r="H9" s="22" t="s">
        <v>22</v>
      </c>
    </row>
    <row r="10" spans="1:8" ht="79.2" x14ac:dyDescent="0.3">
      <c r="A10" s="15" t="s">
        <v>8</v>
      </c>
      <c r="B10" s="15" t="s">
        <v>56</v>
      </c>
      <c r="C10" s="16" t="s">
        <v>57</v>
      </c>
      <c r="D10" s="16" t="s">
        <v>58</v>
      </c>
      <c r="E10" s="16" t="s">
        <v>59</v>
      </c>
      <c r="F10" s="16" t="s">
        <v>60</v>
      </c>
      <c r="G10" s="26" t="s">
        <v>61</v>
      </c>
      <c r="H10" s="18" t="s">
        <v>15</v>
      </c>
    </row>
    <row r="11" spans="1:8" ht="79.2" x14ac:dyDescent="0.3">
      <c r="A11" s="19" t="s">
        <v>8</v>
      </c>
      <c r="B11" s="19" t="s">
        <v>62</v>
      </c>
      <c r="C11" s="20" t="s">
        <v>63</v>
      </c>
      <c r="D11" s="20" t="s">
        <v>64</v>
      </c>
      <c r="E11" s="20" t="s">
        <v>65</v>
      </c>
      <c r="F11" s="20" t="s">
        <v>66</v>
      </c>
      <c r="G11" s="25" t="s">
        <v>40</v>
      </c>
      <c r="H11" s="18" t="s">
        <v>15</v>
      </c>
    </row>
    <row r="12" spans="1:8" ht="66" x14ac:dyDescent="0.3">
      <c r="A12" s="15" t="s">
        <v>8</v>
      </c>
      <c r="B12" s="15" t="s">
        <v>67</v>
      </c>
      <c r="C12" s="16" t="s">
        <v>68</v>
      </c>
      <c r="D12" s="16" t="s">
        <v>69</v>
      </c>
      <c r="E12" s="16" t="s">
        <v>70</v>
      </c>
      <c r="F12" s="16" t="s">
        <v>71</v>
      </c>
      <c r="G12" s="17" t="s">
        <v>14</v>
      </c>
      <c r="H12" s="22" t="s">
        <v>22</v>
      </c>
    </row>
    <row r="13" spans="1:8" ht="79.2" x14ac:dyDescent="0.3">
      <c r="A13" s="19" t="s">
        <v>8</v>
      </c>
      <c r="B13" s="19" t="s">
        <v>72</v>
      </c>
      <c r="C13" s="20" t="s">
        <v>73</v>
      </c>
      <c r="D13" s="20" t="s">
        <v>74</v>
      </c>
      <c r="E13" s="20" t="s">
        <v>75</v>
      </c>
      <c r="F13" s="20" t="s">
        <v>76</v>
      </c>
      <c r="G13" s="25" t="s">
        <v>40</v>
      </c>
      <c r="H13" s="22" t="s">
        <v>22</v>
      </c>
    </row>
    <row r="14" spans="1:8" ht="79.2" x14ac:dyDescent="0.3">
      <c r="A14" s="15" t="s">
        <v>8</v>
      </c>
      <c r="B14" s="15" t="s">
        <v>77</v>
      </c>
      <c r="C14" s="16" t="s">
        <v>78</v>
      </c>
      <c r="D14" s="16" t="s">
        <v>79</v>
      </c>
      <c r="E14" s="16" t="s">
        <v>80</v>
      </c>
      <c r="F14" s="16" t="s">
        <v>81</v>
      </c>
      <c r="G14" s="24" t="s">
        <v>34</v>
      </c>
      <c r="H14" s="18" t="s">
        <v>15</v>
      </c>
    </row>
    <row r="15" spans="1:8" ht="79.2" x14ac:dyDescent="0.3">
      <c r="A15" s="19" t="s">
        <v>8</v>
      </c>
      <c r="B15" s="19" t="s">
        <v>82</v>
      </c>
      <c r="C15" s="20" t="s">
        <v>83</v>
      </c>
      <c r="D15" s="20" t="s">
        <v>84</v>
      </c>
      <c r="E15" s="20" t="s">
        <v>85</v>
      </c>
      <c r="F15" s="20" t="s">
        <v>86</v>
      </c>
      <c r="G15" s="25" t="s">
        <v>40</v>
      </c>
      <c r="H15" s="18" t="s">
        <v>15</v>
      </c>
    </row>
    <row r="16" spans="1:8" ht="79.2" x14ac:dyDescent="0.3">
      <c r="A16" s="15" t="s">
        <v>8</v>
      </c>
      <c r="B16" s="15" t="s">
        <v>87</v>
      </c>
      <c r="C16" s="16" t="s">
        <v>88</v>
      </c>
      <c r="D16" s="16" t="s">
        <v>89</v>
      </c>
      <c r="E16" s="16" t="s">
        <v>90</v>
      </c>
      <c r="F16" s="16" t="s">
        <v>91</v>
      </c>
      <c r="G16" s="17" t="s">
        <v>14</v>
      </c>
      <c r="H16" s="2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4ED8"/>
  </sheetPr>
  <dimension ref="A1:L17"/>
  <sheetViews>
    <sheetView showGridLines="0" zoomScaleNormal="100" workbookViewId="0">
      <selection sqref="A1:L1"/>
    </sheetView>
  </sheetViews>
  <sheetFormatPr defaultColWidth="8.6640625" defaultRowHeight="14.4" x14ac:dyDescent="0.3"/>
  <cols>
    <col min="1" max="12" width="12" customWidth="1"/>
  </cols>
  <sheetData>
    <row r="1" spans="1:12" ht="36" customHeight="1" x14ac:dyDescent="0.3">
      <c r="A1" s="13" t="s">
        <v>92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1.75" customHeight="1" x14ac:dyDescent="0.3">
      <c r="A2" s="12" t="s">
        <v>93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ht="24" customHeight="1" x14ac:dyDescent="0.3">
      <c r="A4" s="10" t="s">
        <v>94</v>
      </c>
      <c r="B4" s="10"/>
      <c r="C4" s="9" t="s">
        <v>95</v>
      </c>
      <c r="D4" s="9"/>
      <c r="E4" s="8" t="s">
        <v>96</v>
      </c>
      <c r="F4" s="8"/>
      <c r="G4" s="10" t="s">
        <v>97</v>
      </c>
      <c r="H4" s="10"/>
      <c r="I4" s="7" t="s">
        <v>98</v>
      </c>
      <c r="J4" s="7"/>
      <c r="K4" s="6" t="s">
        <v>99</v>
      </c>
      <c r="L4" s="6"/>
    </row>
    <row r="5" spans="1:12" ht="43.5" customHeight="1" x14ac:dyDescent="0.3">
      <c r="A5" s="5">
        <f>COUNTA(#REF!)</f>
        <v>1</v>
      </c>
      <c r="B5" s="5"/>
      <c r="C5" s="5" t="e">
        <f>COUNTIF(#REF!,"Unread")</f>
        <v>#REF!</v>
      </c>
      <c r="D5" s="5"/>
      <c r="E5" s="5" t="e">
        <f>COUNTIF(#REF!,"Read")</f>
        <v>#REF!</v>
      </c>
      <c r="F5" s="5"/>
      <c r="G5" s="5" t="e">
        <f>COUNTIF(#REF!,"Work")</f>
        <v>#REF!</v>
      </c>
      <c r="H5" s="5"/>
      <c r="I5" s="5" t="e">
        <f>COUNTIF(#REF!,"Finance")</f>
        <v>#REF!</v>
      </c>
      <c r="J5" s="5"/>
      <c r="K5" s="5" t="e">
        <f>COUNTIF(#REF!,"Orders")</f>
        <v>#REF!</v>
      </c>
      <c r="L5" s="5"/>
    </row>
    <row r="7" spans="1:12" ht="27.75" customHeight="1" x14ac:dyDescent="0.3">
      <c r="A7" s="4" t="s">
        <v>100</v>
      </c>
      <c r="B7" s="4"/>
      <c r="C7" s="4"/>
      <c r="E7" s="3" t="s">
        <v>101</v>
      </c>
      <c r="F7" s="3"/>
      <c r="G7" s="3"/>
      <c r="I7" s="2" t="s">
        <v>102</v>
      </c>
      <c r="J7" s="2"/>
      <c r="K7" s="2"/>
      <c r="L7" s="2"/>
    </row>
    <row r="8" spans="1:12" ht="24" customHeight="1" x14ac:dyDescent="0.3">
      <c r="A8" s="27" t="s">
        <v>103</v>
      </c>
      <c r="B8" s="27" t="s">
        <v>104</v>
      </c>
      <c r="C8" s="27" t="s">
        <v>105</v>
      </c>
      <c r="E8" s="27" t="s">
        <v>106</v>
      </c>
      <c r="F8" s="27" t="s">
        <v>104</v>
      </c>
      <c r="G8" s="27" t="s">
        <v>105</v>
      </c>
      <c r="I8" s="27" t="s">
        <v>107</v>
      </c>
      <c r="J8" s="27" t="s">
        <v>108</v>
      </c>
    </row>
    <row r="9" spans="1:12" ht="21.75" customHeight="1" x14ac:dyDescent="0.3">
      <c r="A9" s="28" t="s">
        <v>28</v>
      </c>
      <c r="B9" s="15" t="e">
        <f>COUNTIF(#REF!,A9)</f>
        <v>#REF!</v>
      </c>
      <c r="C9" s="19" t="e">
        <f>IF(B9=0,"0%",TEXT(B9/SUM(B9:B14),"0.0%"))</f>
        <v>#REF!</v>
      </c>
      <c r="E9" s="18" t="s">
        <v>15</v>
      </c>
      <c r="F9" s="15" t="e">
        <f>COUNTIF(#REF!,E9)</f>
        <v>#REF!</v>
      </c>
      <c r="G9" s="19" t="e">
        <f>IF(F9=0,"0%",TEXT(F9/SUM(F9:F10),"0.0%"))</f>
        <v>#REF!</v>
      </c>
      <c r="I9" s="29" t="s">
        <v>10</v>
      </c>
      <c r="J9" s="19">
        <v>2</v>
      </c>
    </row>
    <row r="10" spans="1:12" ht="21.75" customHeight="1" x14ac:dyDescent="0.3">
      <c r="A10" s="30" t="s">
        <v>40</v>
      </c>
      <c r="B10" s="15" t="e">
        <f>COUNTIF(#REF!,A10)</f>
        <v>#REF!</v>
      </c>
      <c r="C10" s="19" t="e">
        <f>IF(B10=0,"0%",TEXT(B10/SUM(B9:B14),"0.0%"))</f>
        <v>#REF!</v>
      </c>
      <c r="E10" s="22" t="s">
        <v>22</v>
      </c>
      <c r="F10" s="15" t="e">
        <f>COUNTIF(#REF!,E10)</f>
        <v>#REF!</v>
      </c>
      <c r="G10" s="19" t="e">
        <f>IF(F10=0,"0%",TEXT(F10/SUM(F9:F10),"0.0%"))</f>
        <v>#REF!</v>
      </c>
      <c r="I10" s="31" t="s">
        <v>42</v>
      </c>
      <c r="J10" s="15">
        <v>1</v>
      </c>
    </row>
    <row r="11" spans="1:12" ht="21.75" customHeight="1" x14ac:dyDescent="0.3">
      <c r="A11" s="32" t="s">
        <v>21</v>
      </c>
      <c r="B11" s="15" t="e">
        <f>COUNTIF(#REF!,A11)</f>
        <v>#REF!</v>
      </c>
      <c r="C11" s="19" t="e">
        <f>IF(B11=0,"0%",TEXT(B11/SUM(B9:B14),"0.0%"))</f>
        <v>#REF!</v>
      </c>
      <c r="I11" s="29" t="s">
        <v>30</v>
      </c>
      <c r="J11" s="19">
        <v>1</v>
      </c>
    </row>
    <row r="12" spans="1:12" ht="21.75" customHeight="1" x14ac:dyDescent="0.3">
      <c r="A12" s="33" t="s">
        <v>34</v>
      </c>
      <c r="B12" s="15" t="e">
        <f>COUNTIF(#REF!,A12)</f>
        <v>#REF!</v>
      </c>
      <c r="C12" s="19" t="e">
        <f>IF(B12=0,"0%",TEXT(B12/SUM(B9:B14),"0.0%"))</f>
        <v>#REF!</v>
      </c>
      <c r="I12" s="31" t="s">
        <v>63</v>
      </c>
      <c r="J12" s="15">
        <v>1</v>
      </c>
    </row>
    <row r="13" spans="1:12" ht="21.75" customHeight="1" x14ac:dyDescent="0.3">
      <c r="A13" s="34" t="s">
        <v>61</v>
      </c>
      <c r="B13" s="15" t="e">
        <f>COUNTIF(#REF!,A13)</f>
        <v>#REF!</v>
      </c>
      <c r="C13" s="19" t="e">
        <f>IF(B13=0,"0%",TEXT(B13/SUM(B9:B14),"0.0%"))</f>
        <v>#REF!</v>
      </c>
      <c r="I13" s="29" t="s">
        <v>36</v>
      </c>
      <c r="J13" s="19">
        <v>1</v>
      </c>
    </row>
    <row r="14" spans="1:12" ht="21.75" customHeight="1" x14ac:dyDescent="0.3">
      <c r="A14" s="29" t="s">
        <v>14</v>
      </c>
      <c r="B14" s="15" t="e">
        <f>COUNTIF(#REF!,A14)</f>
        <v>#REF!</v>
      </c>
      <c r="C14" s="19" t="e">
        <f>IF(B14=0,"0%",TEXT(B14/SUM(B9:B14),"0.0%"))</f>
        <v>#REF!</v>
      </c>
    </row>
    <row r="17" spans="1:12" ht="27.75" customHeight="1" x14ac:dyDescent="0.3">
      <c r="A17" s="11" t="s">
        <v>109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</sheetData>
  <mergeCells count="18">
    <mergeCell ref="K5:L5"/>
    <mergeCell ref="A7:C7"/>
    <mergeCell ref="E7:G7"/>
    <mergeCell ref="I7:L7"/>
    <mergeCell ref="A17:L17"/>
    <mergeCell ref="A5:B5"/>
    <mergeCell ref="C5:D5"/>
    <mergeCell ref="E5:F5"/>
    <mergeCell ref="G5:H5"/>
    <mergeCell ref="I5:J5"/>
    <mergeCell ref="A1:L1"/>
    <mergeCell ref="A2:L2"/>
    <mergeCell ref="A4:B4"/>
    <mergeCell ref="C4:D4"/>
    <mergeCell ref="E4:F4"/>
    <mergeCell ref="G4:H4"/>
    <mergeCell ref="I4:J4"/>
    <mergeCell ref="K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A34A"/>
  </sheetPr>
  <dimension ref="A1:C27"/>
  <sheetViews>
    <sheetView showGridLines="0" topLeftCell="A4" zoomScaleNormal="100" workbookViewId="0">
      <selection sqref="A1:C1"/>
    </sheetView>
  </sheetViews>
  <sheetFormatPr defaultColWidth="8.6640625" defaultRowHeight="14.4" x14ac:dyDescent="0.3"/>
  <cols>
    <col min="1" max="1" width="6" customWidth="1"/>
    <col min="2" max="2" width="28" customWidth="1"/>
    <col min="3" max="3" width="55" customWidth="1"/>
  </cols>
  <sheetData>
    <row r="1" spans="1:3" ht="36" customHeight="1" x14ac:dyDescent="0.3">
      <c r="A1" s="1" t="s">
        <v>110</v>
      </c>
      <c r="B1" s="1"/>
      <c r="C1" s="1"/>
    </row>
    <row r="2" spans="1:3" ht="21.75" customHeight="1" x14ac:dyDescent="0.3">
      <c r="A2" s="12" t="s">
        <v>111</v>
      </c>
      <c r="B2" s="12"/>
      <c r="C2" s="12"/>
    </row>
    <row r="3" spans="1:3" ht="36" customHeight="1" x14ac:dyDescent="0.3">
      <c r="A3" s="35" t="s">
        <v>112</v>
      </c>
      <c r="B3" s="36" t="s">
        <v>113</v>
      </c>
      <c r="C3" s="36" t="s">
        <v>114</v>
      </c>
    </row>
    <row r="4" spans="1:3" ht="36" customHeight="1" x14ac:dyDescent="0.3">
      <c r="A4" s="19" t="s">
        <v>115</v>
      </c>
      <c r="B4" s="20" t="s">
        <v>116</v>
      </c>
      <c r="C4" s="20" t="s">
        <v>117</v>
      </c>
    </row>
    <row r="5" spans="1:3" ht="36" customHeight="1" x14ac:dyDescent="0.3">
      <c r="A5" s="15" t="s">
        <v>118</v>
      </c>
      <c r="B5" s="16" t="s">
        <v>119</v>
      </c>
      <c r="C5" s="16" t="s">
        <v>120</v>
      </c>
    </row>
    <row r="6" spans="1:3" ht="36" customHeight="1" x14ac:dyDescent="0.3">
      <c r="A6" s="19" t="s">
        <v>121</v>
      </c>
      <c r="B6" s="20" t="s">
        <v>122</v>
      </c>
      <c r="C6" s="20" t="s">
        <v>123</v>
      </c>
    </row>
    <row r="7" spans="1:3" ht="36" customHeight="1" x14ac:dyDescent="0.3">
      <c r="A7" s="15" t="s">
        <v>124</v>
      </c>
      <c r="B7" s="16" t="s">
        <v>125</v>
      </c>
      <c r="C7" s="16" t="s">
        <v>126</v>
      </c>
    </row>
    <row r="8" spans="1:3" ht="36" customHeight="1" x14ac:dyDescent="0.3">
      <c r="A8" s="19" t="s">
        <v>127</v>
      </c>
      <c r="B8" s="20" t="s">
        <v>128</v>
      </c>
      <c r="C8" s="20" t="s">
        <v>129</v>
      </c>
    </row>
    <row r="9" spans="1:3" ht="36" customHeight="1" x14ac:dyDescent="0.3">
      <c r="A9" s="15" t="s">
        <v>130</v>
      </c>
      <c r="B9" s="16" t="s">
        <v>131</v>
      </c>
      <c r="C9" s="16" t="s">
        <v>132</v>
      </c>
    </row>
    <row r="10" spans="1:3" ht="36" customHeight="1" x14ac:dyDescent="0.3">
      <c r="A10" s="19" t="s">
        <v>133</v>
      </c>
      <c r="B10" s="20" t="s">
        <v>134</v>
      </c>
      <c r="C10" s="20" t="s">
        <v>135</v>
      </c>
    </row>
    <row r="11" spans="1:3" ht="36" customHeight="1" x14ac:dyDescent="0.3">
      <c r="A11" s="15" t="s">
        <v>136</v>
      </c>
      <c r="B11" s="16" t="s">
        <v>137</v>
      </c>
      <c r="C11" s="16" t="s">
        <v>138</v>
      </c>
    </row>
    <row r="14" spans="1:3" ht="27.75" customHeight="1" x14ac:dyDescent="0.3">
      <c r="A14" s="4" t="s">
        <v>139</v>
      </c>
      <c r="B14" s="4"/>
      <c r="C14" s="4"/>
    </row>
    <row r="15" spans="1:3" ht="24" customHeight="1" x14ac:dyDescent="0.3">
      <c r="A15" s="35" t="s">
        <v>140</v>
      </c>
      <c r="B15" s="36" t="s">
        <v>141</v>
      </c>
      <c r="C15" s="36" t="s">
        <v>142</v>
      </c>
    </row>
    <row r="16" spans="1:3" ht="24" customHeight="1" x14ac:dyDescent="0.3">
      <c r="A16" s="37" t="s">
        <v>143</v>
      </c>
      <c r="B16" s="38" t="s">
        <v>144</v>
      </c>
      <c r="C16" s="38" t="s">
        <v>145</v>
      </c>
    </row>
    <row r="17" spans="1:3" ht="24" customHeight="1" x14ac:dyDescent="0.3">
      <c r="A17" s="39" t="s">
        <v>146</v>
      </c>
      <c r="B17" s="40" t="s">
        <v>147</v>
      </c>
      <c r="C17" s="40" t="s">
        <v>148</v>
      </c>
    </row>
    <row r="18" spans="1:3" ht="24" customHeight="1" x14ac:dyDescent="0.3">
      <c r="A18" s="39" t="s">
        <v>146</v>
      </c>
      <c r="B18" s="40" t="s">
        <v>149</v>
      </c>
      <c r="C18" s="40" t="s">
        <v>150</v>
      </c>
    </row>
    <row r="19" spans="1:3" ht="24" customHeight="1" x14ac:dyDescent="0.3">
      <c r="A19" s="39" t="s">
        <v>146</v>
      </c>
      <c r="B19" s="40" t="s">
        <v>151</v>
      </c>
      <c r="C19" s="40" t="s">
        <v>152</v>
      </c>
    </row>
    <row r="20" spans="1:3" ht="24" customHeight="1" x14ac:dyDescent="0.3">
      <c r="A20" s="39" t="s">
        <v>146</v>
      </c>
      <c r="B20" s="40" t="s">
        <v>153</v>
      </c>
      <c r="C20" s="40" t="s">
        <v>154</v>
      </c>
    </row>
    <row r="21" spans="1:3" ht="24" customHeight="1" x14ac:dyDescent="0.3">
      <c r="A21" s="41" t="s">
        <v>155</v>
      </c>
      <c r="B21" s="42" t="s">
        <v>156</v>
      </c>
      <c r="C21" s="42" t="s">
        <v>157</v>
      </c>
    </row>
    <row r="22" spans="1:3" ht="24" customHeight="1" x14ac:dyDescent="0.3">
      <c r="A22" s="41" t="s">
        <v>155</v>
      </c>
      <c r="B22" s="42" t="s">
        <v>158</v>
      </c>
      <c r="C22" s="42" t="s">
        <v>159</v>
      </c>
    </row>
    <row r="23" spans="1:3" ht="24" customHeight="1" x14ac:dyDescent="0.3">
      <c r="A23" s="41" t="s">
        <v>155</v>
      </c>
      <c r="B23" s="42" t="s">
        <v>160</v>
      </c>
      <c r="C23" s="42" t="s">
        <v>161</v>
      </c>
    </row>
    <row r="24" spans="1:3" ht="24" customHeight="1" x14ac:dyDescent="0.3">
      <c r="A24" s="41" t="s">
        <v>155</v>
      </c>
      <c r="B24" s="42" t="s">
        <v>162</v>
      </c>
      <c r="C24" s="42" t="s">
        <v>163</v>
      </c>
    </row>
    <row r="25" spans="1:3" ht="24" customHeight="1" x14ac:dyDescent="0.3">
      <c r="A25" s="41" t="s">
        <v>155</v>
      </c>
      <c r="B25" s="42" t="s">
        <v>164</v>
      </c>
      <c r="C25" s="42" t="s">
        <v>165</v>
      </c>
    </row>
    <row r="26" spans="1:3" ht="24" customHeight="1" x14ac:dyDescent="0.3">
      <c r="A26" s="43" t="s">
        <v>166</v>
      </c>
      <c r="B26" s="44" t="s">
        <v>147</v>
      </c>
      <c r="C26" s="44" t="s">
        <v>167</v>
      </c>
    </row>
    <row r="27" spans="1:3" ht="24" customHeight="1" x14ac:dyDescent="0.3">
      <c r="A27" s="43" t="s">
        <v>166</v>
      </c>
      <c r="B27" s="44" t="s">
        <v>168</v>
      </c>
      <c r="C27" s="44" t="s">
        <v>169</v>
      </c>
    </row>
  </sheetData>
  <mergeCells count="3">
    <mergeCell ref="A1:C1"/>
    <mergeCell ref="A2:C2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Logs</vt:lpstr>
      <vt:lpstr>📊 Dashboard</vt:lpstr>
      <vt:lpstr>🔧 n8n Setup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SAKSHAM SAXENA</cp:lastModifiedBy>
  <cp:revision>0</cp:revision>
  <dcterms:created xsi:type="dcterms:W3CDTF">2026-06-30T00:27:18Z</dcterms:created>
  <dcterms:modified xsi:type="dcterms:W3CDTF">2026-07-03T14:42:03Z</dcterms:modified>
  <dc:language>en-US</dc:language>
</cp:coreProperties>
</file>