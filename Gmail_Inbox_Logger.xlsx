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Gmail_Inbox_Logger_n8n\"/>
    </mc:Choice>
  </mc:AlternateContent>
  <xr:revisionPtr revIDLastSave="0" documentId="13_ncr:1_{D1D0A465-9DE8-4A27-B042-0641B43B7269}" xr6:coauthVersionLast="47" xr6:coauthVersionMax="47" xr10:uidLastSave="{00000000-0000-0000-0000-000000000000}"/>
  <bookViews>
    <workbookView xWindow="-108" yWindow="-108" windowWidth="23256" windowHeight="12456" xr2:uid="{00000000-000D-0000-FFFF-FFFF00000000}"/>
  </bookViews>
  <sheets>
    <sheet name="Logs" sheetId="2" r:id="rId1"/>
    <sheet name="📊 Dashboard" sheetId="3" r:id="rId2"/>
    <sheet name="🔧 n8n Setup Guide" sheetId="4"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4" i="3" l="1"/>
  <c r="C14" i="3" s="1"/>
  <c r="B13" i="3"/>
  <c r="C13" i="3" s="1"/>
  <c r="B12" i="3"/>
  <c r="C12" i="3" s="1"/>
  <c r="B11" i="3"/>
  <c r="C11" i="3" s="1"/>
  <c r="F10" i="3"/>
  <c r="G10" i="3" s="1"/>
  <c r="B10" i="3"/>
  <c r="C10" i="3" s="1"/>
  <c r="F9" i="3"/>
  <c r="G9" i="3" s="1"/>
  <c r="B9" i="3"/>
  <c r="C9" i="3" s="1"/>
  <c r="K5" i="3"/>
  <c r="I5" i="3"/>
  <c r="G5" i="3"/>
  <c r="E5" i="3"/>
  <c r="C5" i="3"/>
  <c r="A5" i="3"/>
</calcChain>
</file>

<file path=xl/sharedStrings.xml><?xml version="1.0" encoding="utf-8"?>
<sst xmlns="http://schemas.openxmlformats.org/spreadsheetml/2006/main" count="410" uniqueCount="259">
  <si>
    <t>📅 Date</t>
  </si>
  <si>
    <t>⏰ Time</t>
  </si>
  <si>
    <t>👤 Sender Name</t>
  </si>
  <si>
    <t>📮 Sender Email</t>
  </si>
  <si>
    <t>📝 Subject</t>
  </si>
  <si>
    <t>🔍 Preview</t>
  </si>
  <si>
    <t>🏷️ Label</t>
  </si>
  <si>
    <t>✅ Status</t>
  </si>
  <si>
    <t>12 Jun 2025</t>
  </si>
  <si>
    <t>09:14 AM</t>
  </si>
  <si>
    <t>Google</t>
  </si>
  <si>
    <t>no-reply@google.com</t>
  </si>
  <si>
    <t>Security alert for your account</t>
  </si>
  <si>
    <t>A new sign-in to your Google Account</t>
  </si>
  <si>
    <t>Inbox</t>
  </si>
  <si>
    <t>Read</t>
  </si>
  <si>
    <t>09:31 AM</t>
  </si>
  <si>
    <t>Amazon India</t>
  </si>
  <si>
    <t>order-update@amazon.in</t>
  </si>
  <si>
    <t>Your order has been shipped! 📦</t>
  </si>
  <si>
    <t>Your order #402-8923 is on the way</t>
  </si>
  <si>
    <t>Orders</t>
  </si>
  <si>
    <t>Unread</t>
  </si>
  <si>
    <t>10:05 AM</t>
  </si>
  <si>
    <t>Rahul Sharma</t>
  </si>
  <si>
    <t>rahul.s@company.com</t>
  </si>
  <si>
    <t>Meeting rescheduled to 3 PM today</t>
  </si>
  <si>
    <t>Hi, the standup is moved from 11 to 3 PM</t>
  </si>
  <si>
    <t>Work</t>
  </si>
  <si>
    <t>10:47 AM</t>
  </si>
  <si>
    <t>LinkedIn</t>
  </si>
  <si>
    <t>messages-noreply@linkedin.com</t>
  </si>
  <si>
    <t>You have 3 new connection requests</t>
  </si>
  <si>
    <t>Priya Patel and 2 others want to connect</t>
  </si>
  <si>
    <t>Social</t>
  </si>
  <si>
    <t>11:15 AM</t>
  </si>
  <si>
    <t>Paytm</t>
  </si>
  <si>
    <t>noreply@paytm.com</t>
  </si>
  <si>
    <t>Payment of ₹499 successful</t>
  </si>
  <si>
    <t>Your payment to Netflix was successful</t>
  </si>
  <si>
    <t>Finance</t>
  </si>
  <si>
    <t>12:00 PM</t>
  </si>
  <si>
    <t>GitHub</t>
  </si>
  <si>
    <t>notifications@github.com</t>
  </si>
  <si>
    <t>New issue opened on your repo</t>
  </si>
  <si>
    <t>[n8n-project] Issue #14: Webhook not firing</t>
  </si>
  <si>
    <t>12:38 PM</t>
  </si>
  <si>
    <t>Swiggy</t>
  </si>
  <si>
    <t>no-reply@swiggy.in</t>
  </si>
  <si>
    <t>Your order is on the way! 🛵</t>
  </si>
  <si>
    <t>Your Biryani will arrive in 25 minutes</t>
  </si>
  <si>
    <t>01:10 PM</t>
  </si>
  <si>
    <t>Priya Patel</t>
  </si>
  <si>
    <t>priya.p@startup.io</t>
  </si>
  <si>
    <t>Re: Project proposal — looks great!</t>
  </si>
  <si>
    <t>Thanks for sharing! I reviewed the deck...</t>
  </si>
  <si>
    <t>02:20 PM</t>
  </si>
  <si>
    <t>Notion</t>
  </si>
  <si>
    <t>hello@mail.notion.so</t>
  </si>
  <si>
    <t>Your weekly digest is here 📋</t>
  </si>
  <si>
    <t>Here's what happened in your workspace</t>
  </si>
  <si>
    <t>Apps</t>
  </si>
  <si>
    <t>03:05 PM</t>
  </si>
  <si>
    <t>HDFC Bank</t>
  </si>
  <si>
    <t>alerts@hdfcbank.net</t>
  </si>
  <si>
    <t>Transaction Alert: ₹2,000 debited</t>
  </si>
  <si>
    <t>Your account ending 4821 debited ₹2,000</t>
  </si>
  <si>
    <t>03:45 PM</t>
  </si>
  <si>
    <t>Coursera</t>
  </si>
  <si>
    <t>no-reply@coursera.org</t>
  </si>
  <si>
    <t>New course recommendation for you</t>
  </si>
  <si>
    <t>Based on your interests: Python for AI</t>
  </si>
  <si>
    <t>04:20 PM</t>
  </si>
  <si>
    <t>Arjun Mehta</t>
  </si>
  <si>
    <t>arjun.m@freelance.com</t>
  </si>
  <si>
    <t>Invoice #INV-2025-047 sent</t>
  </si>
  <si>
    <t>Please find attached invoice for ₹15,000</t>
  </si>
  <si>
    <t>05:00 PM</t>
  </si>
  <si>
    <t>YouTube</t>
  </si>
  <si>
    <t>no-reply@youtube.com</t>
  </si>
  <si>
    <t>New video from channels you follow</t>
  </si>
  <si>
    <t>n8n Tutorial: Build AI Agents in 2025</t>
  </si>
  <si>
    <t>05:30 PM</t>
  </si>
  <si>
    <t>Zerodha</t>
  </si>
  <si>
    <t>no-reply@zerodha.com</t>
  </si>
  <si>
    <t>Your portfolio is up 2.3% today 📈</t>
  </si>
  <si>
    <t>NIFTY closed at 24,320. Your P&amp;L: +₹4,200</t>
  </si>
  <si>
    <t>06:15 PM</t>
  </si>
  <si>
    <t>Google Workspace</t>
  </si>
  <si>
    <t>workspace@google.com</t>
  </si>
  <si>
    <t>Storage almost full — 89% used</t>
  </si>
  <si>
    <t>You have used 13.5 GB of your 15 GB</t>
  </si>
  <si>
    <t>Coursera@m.learn.coursera.org</t>
  </si>
  <si>
    <t>Ends soon: Top courses at ₹7,499/year</t>
  </si>
  <si>
    <t>Midyear is the perfect time to reset and build new skills. ͏ ‌ ﻿ ͏ ‌ ﻿ ͏ ‌ ﻿ ͏ ‌ ﻿ ͏ ‌ ﻿ ͏ ‌ ﻿ ͏ ‌ ﻿ ͏ ‌ ﻿ ͏ ‌ ﻿ ͏ ‌ ﻿ ͏ ‌ ﻿ ͏ ‌ ﻿ ͏ ‌ ﻿ ͏ ‌ ﻿ ͏ ‌ ﻿ ͏ ‌ ﻿ ͏ ‌ ﻿ ͏ ‌ ﻿ ͏ ‌ ﻿ ͏ ‌ ﻿ ͏ ‌ ﻿ ͏ ‌ ﻿ ͏ ‌ ﻿ ͏ ‌</t>
  </si>
  <si>
    <t>CATEGORY_PROMOTIONS</t>
  </si>
  <si>
    <t>Emergent</t>
  </si>
  <si>
    <t>team@ship.emergent.sh</t>
  </si>
  <si>
    <t>A few project ideas to get you started</t>
  </si>
  <si>
    <t>emergent A few projects to get you started We put together a few small projects you could get started with on Emergent. Everything from building a 3D website to Chrome extensions that could supercharge</t>
  </si>
  <si>
    <t>CATEGORY_UPDATES</t>
  </si>
  <si>
    <t>Agoda Price Alerts</t>
  </si>
  <si>
    <t>no-reply@sg.newsletter.agoda-emails.com</t>
  </si>
  <si>
    <t>Saksham, top price drops in New Delhi, selected for you!</t>
  </si>
  <si>
    <t>Check out today's top price drops on Agoda! Agoda.com Hotels &amp; Homes Flights Deals Airport Transfer Activities Saksham, experience the best of New Delhi Your journey starts here! New Delhi July</t>
  </si>
  <si>
    <t>updates-noreply@linkedin.com</t>
  </si>
  <si>
    <t>Altaf Mohammad and others share their thoughts on LinkedIn</t>
  </si>
  <si>
    <t>Learning DFT – Scan Verification Today, I spent some time learning about Scan… ͏ ͏ ͏ ͏ ͏ ͏ ͏ ͏ ͏ ͏ ͏ ͏ ͏ ͏ ͏ ͏ ͏ ͏ ͏ ͏ ͏ ͏ ͏ ͏ ͏ ͏ ͏ ͏ ͏ ͏ ͏ ͏ ͏ ͏ ͏ ͏ ͏ ͏ ͏ ͏ ͏ ͏ ͏ ͏ ͏ ͏ ͏ ͏ ͏ ͏ ͏ ͏ ͏ ͏ ͏ ͏ ͏ ͏ ͏ ͏ ͏</t>
  </si>
  <si>
    <t>Sneha Kapoor</t>
  </si>
  <si>
    <t>noreply@unstop.news</t>
  </si>
  <si>
    <t>CII Post-Harvest Hackathon | National Recognition + Mentorship + Industry Exposure</t>
  </si>
  <si>
    <t>Apply now! ﻿ ͏ ﻿ ͏ ﻿ ͏ ﻿ ͏ ﻿ ͏ ﻿ ͏ ﻿ ͏ ﻿ ͏ ﻿ ͏ ﻿ ͏ ﻿ ͏ ﻿ ͏ ﻿ ͏ ﻿ ͏ ﻿ ͏ ﻿ ͏ ﻿ ͏ ﻿ ͏ ﻿ ͏ ﻿ ͏ ﻿ ͏ ﻿ ͏ ﻿ ͏ ﻿ ͏ ﻿ ͏ ﻿ ͏ ﻿ ͏ ﻿ ͏ ﻿ ͏ ﻿ ͏ ﻿ ͏ ﻿ ͏ ﻿ ͏ ﻿ ͏ ﻿ ͏ ﻿ ͏ ﻿ ͏ ﻿ ͏ ﻿ ͏ ﻿ ͏ ﻿ ͏ ﻿ ͏ ﻿ ͏ ﻿ ͏ ﻿ ͏ ﻿ ͏ ﻿ ͏ ﻿</t>
  </si>
  <si>
    <t>Sweatcoin</t>
  </si>
  <si>
    <t>em@tra.sweatco.in</t>
  </si>
  <si>
    <t>40 Sweatcoins are waiting 👀</t>
  </si>
  <si>
    <t>Your next invite could be your easiest reward. Hey Saksham, If you've been thinking about inviting someone to Sweatcoin, now's a good time. Invite a friend and receive 40 Sweatcoins once they</t>
  </si>
  <si>
    <t>Starbucks India</t>
  </si>
  <si>
    <t>info@members.tatastarbucks.net</t>
  </si>
  <si>
    <t>Welcome to green tier! Enjoy faster rewards and more choices to reedeem it.</t>
  </si>
  <si>
    <t>Logo Logo Check Reward Status Reload Card Check Balance Explore Now Download the Starbucks ® India mobile app to simply scan and pay for your coffee at any Starbucks store in India. Image Image Find us</t>
  </si>
  <si>
    <t>mail@em.sweatco.in</t>
  </si>
  <si>
    <t>Saksham, did you finish the challenge?</t>
  </si>
  <si>
    <t>See if you won the Win a $100 Rebel gift card! 🎉 🏆 ﻿ ͏ ﻿ ͏ ﻿ ͏ ﻿ ͏ ﻿ ͏ ﻿ ͏ ﻿ ͏ ﻿ ͏ ﻿ ͏ ﻿ ͏ ﻿ ͏ ﻿ ͏ ﻿ ͏ ﻿ ͏ ﻿ ͏ ﻿ ͏ ﻿ ͏ ﻿ ͏ ﻿ ͏ ﻿ ͏ ﻿ ͏ ﻿ ͏ ﻿ ͏ ﻿ ͏ ﻿ ͏ ﻿ ͏ ﻿ ͏ ﻿ ͏ ﻿ ͏ ﻿ ͏ ﻿ ͏ ﻿ ͏ ﻿ ͏ ﻿ ͏ ﻿ ͏ ﻿ ͏ ﻿ ͏ ﻿</t>
  </si>
  <si>
    <t>Freelancer.com</t>
  </si>
  <si>
    <t>noreply@notifications.freelancer.com</t>
  </si>
  <si>
    <t>Saksham, these Video Editing, After Effects, and Adobe Premiere Pro projects and contests might interest you</t>
  </si>
  <si>
    <t>Hi Saksham, Here are the latest projects and contests matching your skills: PROJECT DESCRIPTION BUDGET Minimal Poster &amp; Video Editing I'm looking for a creative partner to handle two related</t>
  </si>
  <si>
    <t>Jia from Unstop</t>
  </si>
  <si>
    <t>Earn stipend up to ₹50,000!</t>
  </si>
  <si>
    <t>Top wfh opportunities! ﻿ ͏ ﻿ ͏ ﻿ ͏ ﻿ ͏ ﻿ ͏ ﻿ ͏ ﻿ ͏ ﻿ ͏ ﻿ ͏ ﻿ ͏ ﻿ ͏ ﻿ ͏ ﻿ ͏ ﻿ ͏ ﻿ ͏ ﻿ ͏ ﻿ ͏ ﻿ ͏ ﻿ ͏ ﻿ ͏ ﻿ ͏ ﻿ ͏ ﻿ ͏ ﻿ ͏ ﻿ ͏ ﻿ ͏ ﻿ ͏ ﻿ ͏ ﻿ ͏ ﻿ ͏ ﻿ ͏ ﻿ ͏ ﻿ ͏ ﻿ ͏ ﻿ ͏ ﻿ ͏ ﻿ ͏ ﻿ ͏ ﻿ ͏ ﻿ ͏ ﻿ ͏ ﻿ ͏ ﻿ ͏ ﻿ ͏ ﻿</t>
  </si>
  <si>
    <t>SBI</t>
  </si>
  <si>
    <t>sbi@communications.sbi.co.in</t>
  </si>
  <si>
    <t>Amazon Prime Day is Here – Enjoy 10% Instant Discount with SBI Debit Card</t>
  </si>
  <si>
    <t>Dear Saksham, The biggest shopping days are here! Make the most of Amazon Prime Day with your SBI Debit Card and unlock instant savings, exciting offers, and additional rewards on your purchases. Shop</t>
  </si>
  <si>
    <t>Rhea</t>
  </si>
  <si>
    <t>Your AI mock tests are ready!</t>
  </si>
  <si>
    <t>Prepare for Cisco, Wipro &amp; more. Tap to get started. ﻿ ͏ ﻿ ͏ ﻿ ͏ ﻿ ͏ ﻿ ͏ ﻿ ͏ ﻿ ͏ ﻿ ͏ ﻿ ͏ ﻿ ͏ ﻿ ͏ ﻿ ͏ ﻿ ͏ ﻿ ͏ ﻿ ͏ ﻿ ͏ ﻿ ͏ ﻿ ͏ ﻿ ͏ ﻿ ͏ ﻿ ͏ ﻿ ͏ ﻿ ͏ ﻿ ͏ ﻿ ͏ ﻿ ͏ ﻿ ͏ ﻿ ͏ ﻿ ͏ ﻿ ͏ ﻿ ͏ ﻿ ͏ ﻿ ͏ ﻿ ͏ ﻿ ͏ ﻿ ͏</t>
  </si>
  <si>
    <t>👤 Saksham, add Samriddhi Ambadkar</t>
  </si>
  <si>
    <t>Regional HR- Delhi NCR || Deputy Manager || HR Professional ͏ ͏ ͏ ͏ ͏ ͏ ͏ ͏ ͏ ͏ ͏ ͏ ͏ ͏ ͏ ͏ ͏ ͏ ͏ ͏ ͏ ͏ ͏ ͏ ͏ ͏ ͏ ͏ ͏ ͏ ͏ ͏ ͏ ͏ ͏ ͏ ͏ ͏ ͏ ͏ ͏ ͏ ͏ ͏ ͏ ͏ ͏ ͏ ͏ ͏ ͏ ͏ ͏ ͏ ͏ ͏ ͏ ͏ ͏ ͏ ͏ ͏ ͏ ͏ ͏ ͏ ͏ ͏ ͏ ͏ ͏</t>
  </si>
  <si>
    <t>CATEGORY_SOCIAL</t>
  </si>
  <si>
    <t>New skill available: Puzzle solving 🧩</t>
  </si>
  <si>
    <t>Millions of professionals are already testing their skills with LinkedIn's daily puzzle games ͏ ͏ ͏ ͏ ͏ ͏ ͏ ͏ ͏ ͏ ͏ ͏ ͏ ͏ ͏ ͏ ͏ ͏ ͏ ͏ ͏ ͏ ͏ ͏ ͏ ͏ ͏ ͏ ͏ ͏ ͏ ͏ ͏ ͏ ͏ ͏ ͏ ͏ ͏ ͏ ͏ ͏ ͏ ͏ ͏ ͏ ͏ ͏ ͏ ͏ ͏ ͏</t>
  </si>
  <si>
    <t>MBA applications close today: IIT Roorkee and O.P. Jindal</t>
  </si>
  <si>
    <t>Don't miss today's application deadline! ͏ ‌ ﻿ ͏ ‌ ﻿ ͏ ‌ ﻿ ͏ ‌ ﻿ ͏ ‌ ﻿ ͏ ‌ ﻿ ͏ ‌ ﻿ ͏ ‌ ﻿ ͏ ‌ ﻿ ͏ ‌ ﻿ ͏ ‌ ﻿ ͏ ‌ ﻿ ͏ ‌ ﻿ ͏ ‌ ﻿ ͏ ‌ ﻿ ͏ ‌ ﻿ ͏ ‌ ﻿ ͏ ‌ ﻿ ͏ ‌ ﻿ ͏ ‌ ﻿ ͏ ‌ ﻿ ͏ ‌ ﻿ ͏ ‌ ﻿ ͏ ‌ ﻿ ͏ ‌ ﻿ ͏</t>
  </si>
  <si>
    <t>Apply Now: Top internships &amp; hackathons open!</t>
  </si>
  <si>
    <t>Your profile is a perfect match! ﻿ ͏ ﻿ ͏ ﻿ ͏ ﻿ ͏ ﻿ ͏ ﻿ ͏ ﻿ ͏ ﻿ ͏ ﻿ ͏ ﻿ ͏ ﻿ ͏ ﻿ ͏ ﻿ ͏ ﻿ ͏ ﻿ ͏ ﻿ ͏ ﻿ ͏ ﻿ ͏ ﻿ ͏ ﻿ ͏ ﻿ ͏ ﻿ ͏ ﻿ ͏ ﻿ ͏ ﻿ ͏ ﻿ ͏ ﻿ ͏ ﻿ ͏ ﻿ ͏ ﻿ ͏ ﻿ ͏ ﻿ ͏ ﻿ ͏ ﻿ ͏ ﻿ ͏ ﻿ ͏ ﻿ ͏ ﻿ ͏ ﻿ ͏ ﻿ ͏ ﻿ ͏ ﻿ ͏</t>
  </si>
  <si>
    <t>Saksham, these Video Editing, Video Production, and Video Services projects might interest you</t>
  </si>
  <si>
    <t>Hi Saksham, Here are the latest projects matching your skills: PROJECT DESCRIPTION BUDGET Looking to Purchase Industrial CCTV / Safety Violation Video Library I am looking to purchase an existing</t>
  </si>
  <si>
    <t>Kaggle</t>
  </si>
  <si>
    <t>no-reply@kaggle.com</t>
  </si>
  <si>
    <t>Competition Launch: Biohub - Cell Tracking During Development</t>
  </si>
  <si>
    <t>Hi Saksham1232, Scientists use 3D microscopy to study cells over time, but turning these images into insights is difficult. Thousands of cells move, divide, and change shape during large experiments,</t>
  </si>
  <si>
    <t>Divy Jajodia and others share their thoughts on LinkedIn</t>
  </si>
  <si>
    <t>Undergraduate Portfolio (selected works 2021-2026)🎓 Architecture, to me, is… ͏ ͏ ͏ ͏ ͏ ͏ ͏ ͏ ͏ ͏ ͏ ͏ ͏ ͏ ͏ ͏ ͏ ͏ ͏ ͏ ͏ ͏ ͏ ͏ ͏ ͏ ͏ ͏ ͏ ͏ ͏ ͏ ͏ ͏ ͏ ͏ ͏ ͏ ͏ ͏ ͏ ͏ ͏ ͏ ͏ ͏ ͏ ͏ ͏ ͏ ͏ ͏ ͏ ͏ ͏ ͏ ͏ ͏ ͏ ͏ ͏ ͏</t>
  </si>
  <si>
    <t>Saksham, top price drops in Rishikesh, selected for you!</t>
  </si>
  <si>
    <t>Check out today's top price drops on Agoda! Agoda.com Hotels &amp; Homes Flights Deals Airport Transfer Activities Saksham, experience the best of Rishikesh Your journey starts here! Rishikesh July</t>
  </si>
  <si>
    <t>Big Grocery Savings, Delivered Fast</t>
  </si>
  <si>
    <t>Dear Saksham, One simple mantra for smarter grocery shopping. More essentials, less expense. With BigBasket and your SBI Debit Card, you can enjoy instant discounts every time you stock up on your</t>
  </si>
  <si>
    <t>Smriti Goel</t>
  </si>
  <si>
    <t>Deadline Extended | Win Internships with Dabur, Ogilvy &amp; ₹5L+ in Prizes</t>
  </si>
  <si>
    <t>Apply Now! ﻿ ͏ ﻿ ͏ ﻿ ͏ ﻿ ͏ ﻿ ͏ ﻿ ͏ ﻿ ͏ ﻿ ͏ ﻿ ͏ ﻿ ͏ ﻿ ͏ ﻿ ͏ ﻿ ͏ ﻿ ͏ ﻿ ͏ ﻿ ͏ ﻿ ͏ ﻿ ͏ ﻿ ͏ ﻿ ͏ ﻿ ͏ ﻿ ͏ ﻿ ͏ ﻿ ͏ ﻿ ͏ ﻿ ͏ ﻿ ͏ ﻿ ͏ ﻿ ͏ ﻿ ͏ ﻿ ͏ ﻿ ͏ ﻿ ͏ ﻿ ͏ ﻿ ͏ ﻿ ͏ ﻿ ͏ ﻿ ͏ ﻿ ͏ ﻿ ͏ ﻿ ͏ ﻿ ͏ ﻿ ͏ ﻿ ͏ ﻿ ͏ ﻿ ͏ ﻿ ͏ ﻿</t>
  </si>
  <si>
    <t>alerts@info.sweatco.in</t>
  </si>
  <si>
    <t xml:space="preserve">  Saksham, you're 20% more active this week! </t>
  </si>
  <si>
    <t>You took a total of 21729 steps ﻿ ͏ ﻿ ͏ ﻿ ͏ ﻿ ͏ ﻿ ͏ ﻿ ͏ ﻿ ͏ ﻿ ͏ ﻿ ͏ ﻿ ͏ ﻿ ͏ ﻿ ͏ ﻿ ͏ ﻿ ͏ ﻿ ͏ ﻿ ͏ ﻿ ͏ ﻿ ͏ ﻿ ͏ ﻿ ͏ ﻿ ͏ ﻿ ͏ ﻿ ͏ ﻿ ͏ ﻿ ͏ ﻿ ͏ ﻿ ͏ ﻿ ͏ ﻿ ͏ ﻿ ͏ ﻿ ͏ ﻿ ͏ ﻿ ͏ ﻿ ͏ ﻿ ͏ ﻿ ͏ ﻿ ͏ ﻿ ͏ ﻿ ͏ ﻿ ͏ ﻿ ͏ ﻿ ͏ ﻿</t>
  </si>
  <si>
    <t>Use AI</t>
  </si>
  <si>
    <t>hello@use.ai</t>
  </si>
  <si>
    <t>Our last email about Use AI</t>
  </si>
  <si>
    <t>The question you asked is still waiting… ͏ ͏ ͏ ͏ ͏ ͏ ͏ ͏ ͏ ͏ ͏ ͏ ͏ ͏ ͏ ͏ ͏ ͏ ͏ ͏ ͏ ͏ ͏ ͏ ͏ ͏ ͏ ͏ ͏ ͏ ͏ ͏ ͏ ͏ ͏ ͏ ͏ ͏ ͏ ͏ ͏ ͏ ͏ ͏ ͏ ͏ ͏ ͏ ͏ ͏ ͏ ͏ ͏ ͏ ͏ ͏ ͏ ͏ ͏ ͏ ͏ ͏ ͏ ͏ ͏ ͏ ͏ ͏ ͏ ͏ ͏ ͏ ͏ ͏ ͏ ͏ ͏ ͏ ͏ ͏</t>
  </si>
  <si>
    <t>Resumly</t>
  </si>
  <si>
    <t>hello@notify.resumly.ai</t>
  </si>
  <si>
    <t>7 fresh roles from the last 24 hours!</t>
  </si>
  <si>
    <t>Fresh roles from the last 24 hours 7 roles posted in the last 24 hours that we think you'll like. Kaleris Associate Software Engineer Chennai, Tamil Nadu, IndiaFull time8 hrs ago Apply now → AP</t>
  </si>
  <si>
    <t>Security, strengthened with Yono e-Secure lock. Try now!</t>
  </si>
  <si>
    <t>Login Android button Login Apple button Terms &amp; Conditions apply* Disclaimer: Please note on clicking buttons/text mentioned above, you will be redirected to the related URLs links listed below.</t>
  </si>
  <si>
    <t>Saksham, the results are in!</t>
  </si>
  <si>
    <t>See if you won the Jersey 9 Challenge 🏆 ﻿ ͏ ﻿ ͏ ﻿ ͏ ﻿ ͏ ﻿ ͏ ﻿ ͏ ﻿ ͏ ﻿ ͏ ﻿ ͏ ﻿ ͏ ﻿ ͏ ﻿ ͏ ﻿ ͏ ﻿ ͏ ﻿ ͏ ﻿ ͏ ﻿ ͏ ﻿ ͏ ﻿ ͏ ﻿ ͏ ﻿ ͏ ﻿ ͏ ﻿ ͏ ﻿ ͏ ﻿ ͏ ﻿ ͏ ﻿ ͏ ﻿ ͏ ﻿ ͏ ﻿ ͏ ﻿ ͏ ﻿ ͏ ﻿ ͏ ﻿ ͏ ﻿ ͏ ﻿ ͏ ﻿ ͏ ﻿ ͏ ﻿ ͏ ﻿ ͏ ﻿</t>
  </si>
  <si>
    <t>Hi Saksham, Here are the latest projects matching your skills: PROJECT DESCRIPTION BUDGET Creación de Videos Cortos Sobre Salud Mental - SOLO ESPAÑOL NATIVO Buscamos una persona para crear videos</t>
  </si>
  <si>
    <t>OpenAI</t>
  </si>
  <si>
    <t>noreply@tm.openai.com</t>
  </si>
  <si>
    <t>Your Plus access will end soon</t>
  </si>
  <si>
    <t>ChatGPT Update your payment method to keep using Plus Update payment Please update your payment method to keep access to Plus benefits: Extended limits on messaging, file uploads, and voice mode More</t>
  </si>
  <si>
    <t>📊  Gmail Analytics Dashboard</t>
  </si>
  <si>
    <t>Live stats from your Gmail Log — updates automatically with n8n</t>
  </si>
  <si>
    <t>📧  Total Emails</t>
  </si>
  <si>
    <t>🔴  Unread</t>
  </si>
  <si>
    <t>✅  Read</t>
  </si>
  <si>
    <t>💼  Work Emails</t>
  </si>
  <si>
    <t>💰  Finance Emails</t>
  </si>
  <si>
    <t>📦  Orders</t>
  </si>
  <si>
    <t>🏷️  Emails by Label</t>
  </si>
  <si>
    <t>✅  Read vs Unread</t>
  </si>
  <si>
    <t>👤  Top Senders (Sample)</t>
  </si>
  <si>
    <t>Label</t>
  </si>
  <si>
    <t>Count</t>
  </si>
  <si>
    <t>% Share</t>
  </si>
  <si>
    <t>Status</t>
  </si>
  <si>
    <t>Sender</t>
  </si>
  <si>
    <t>Emails</t>
  </si>
  <si>
    <t>💡  Pro Tips: Filter emails by Label or Status using the dropdown filters in Gmail Log sheet  |  Refresh n8n workflow to sync latest emails  |  Add new labels in n8n IF node</t>
  </si>
  <si>
    <t>🔧  n8n Workflow Setup Guide — Gmail Inbox Logger</t>
  </si>
  <si>
    <t>Follow these steps to connect n8n → Gmail → Google Sheets</t>
  </si>
  <si>
    <t>STEP</t>
  </si>
  <si>
    <t>ACTION</t>
  </si>
  <si>
    <t>DETAILS</t>
  </si>
  <si>
    <t>1</t>
  </si>
  <si>
    <t>Import Workflow JSON</t>
  </si>
  <si>
    <t>n8n mein Workflows → + New → ••• menu → Import from file → Select 'gmail_logger_workflow.json'</t>
  </si>
  <si>
    <t>2</t>
  </si>
  <si>
    <t>Setup Gmail Credential</t>
  </si>
  <si>
    <t>Gmail node double-click → Credentials → Create New → Sign in with Google → Allow permissions</t>
  </si>
  <si>
    <t>3</t>
  </si>
  <si>
    <t>Setup Sheets Credential</t>
  </si>
  <si>
    <t>Google Sheets node → Credentials → Create New → Same Google account → Allow</t>
  </si>
  <si>
    <t>4</t>
  </si>
  <si>
    <t>Select Your Sheet</t>
  </si>
  <si>
    <t>Google Sheets node → Document → Search 'Gmail Inbox Log' → Select → Sheet: Sheet1</t>
  </si>
  <si>
    <t>5</t>
  </si>
  <si>
    <t>Map Columns</t>
  </si>
  <si>
    <t>Mapping: Date→Date | Time→Time | Sender→Sender Name | Email→Sender Email | Subject→Subject | Preview→Preview</t>
  </si>
  <si>
    <t>6</t>
  </si>
  <si>
    <t>Test Workflow</t>
  </si>
  <si>
    <t>Top bar → 'Test Workflow' button → Green ticks = Success → Check your sheet!</t>
  </si>
  <si>
    <t>7</t>
  </si>
  <si>
    <t>Activate</t>
  </si>
  <si>
    <t>Top right Toggle → ON (Blue) → Workflow runs every 15 minutes automatically</t>
  </si>
  <si>
    <t>8</t>
  </si>
  <si>
    <t>Verify</t>
  </si>
  <si>
    <t>Open Gmail Inbox Log sheet → New rows appear automatically every 15 min 🎉</t>
  </si>
  <si>
    <t>⚙️  Node Configuration Reference</t>
  </si>
  <si>
    <t>NODE</t>
  </si>
  <si>
    <t>SETTING</t>
  </si>
  <si>
    <t>VALUE</t>
  </si>
  <si>
    <t>Schedule Trigger</t>
  </si>
  <si>
    <t>Interval</t>
  </si>
  <si>
    <t>Every 15 Minutes</t>
  </si>
  <si>
    <t>Gmail</t>
  </si>
  <si>
    <t>Operation</t>
  </si>
  <si>
    <t>Get Many Messages</t>
  </si>
  <si>
    <t>Filters → Read Status</t>
  </si>
  <si>
    <t>Unread Only</t>
  </si>
  <si>
    <t>Limit</t>
  </si>
  <si>
    <t>10 emails per run</t>
  </si>
  <si>
    <t>Simplify</t>
  </si>
  <si>
    <t>ON ✅</t>
  </si>
  <si>
    <t>Edit Fields</t>
  </si>
  <si>
    <t>Date field</t>
  </si>
  <si>
    <t xml:space="preserve"> {{ new Date().toLocaleDateString('en-IN') }}</t>
  </si>
  <si>
    <t>Time field</t>
  </si>
  <si>
    <t xml:space="preserve"> {{ new Date().toLocaleTimeString('en-IN') }}</t>
  </si>
  <si>
    <t>Sender field</t>
  </si>
  <si>
    <t xml:space="preserve"> {{ $json.from }}</t>
  </si>
  <si>
    <t>Subject field</t>
  </si>
  <si>
    <t xml:space="preserve"> {{ $json.subject }}</t>
  </si>
  <si>
    <t>Preview field</t>
  </si>
  <si>
    <t xml:space="preserve"> {{ $json.snippet }}</t>
  </si>
  <si>
    <t>Google Sheets</t>
  </si>
  <si>
    <t>Append Row</t>
  </si>
  <si>
    <t>Column Mode</t>
  </si>
  <si>
    <t>Map Each Column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</si>
</sst>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yyyy"/>
  </numFmts>
  <fonts count="17">
    <font>
      <sz val="11"/>
      <color theme="1"/>
      <name val="Calibri"/>
      <scheme val="minor"/>
    </font>
    <font>
      <b/>
      <sz val="16"/>
      <color rgb="FFFFFFFF"/>
      <name val="Arial"/>
    </font>
    <font>
      <sz val="11"/>
      <name val="Calibri"/>
    </font>
    <font>
      <i/>
      <sz val="10"/>
      <color rgb="FF94A3B8"/>
      <name val="Arial"/>
    </font>
    <font>
      <b/>
      <sz val="11"/>
      <color rgb="FFFFFFFF"/>
      <name val="Arial"/>
    </font>
    <font>
      <sz val="10"/>
      <color rgb="FF0F172A"/>
      <name val="Arial"/>
    </font>
    <font>
      <b/>
      <sz val="10"/>
      <color rgb="FF0F172A"/>
      <name val="Arial"/>
    </font>
    <font>
      <b/>
      <sz val="10"/>
      <color rgb="FF16A34A"/>
      <name val="Arial"/>
    </font>
    <font>
      <b/>
      <sz val="10"/>
      <color rgb="FFDC2626"/>
      <name val="Arial"/>
    </font>
    <font>
      <b/>
      <sz val="10"/>
      <color rgb="FFEA580C"/>
      <name val="Arial"/>
    </font>
    <font>
      <sz val="11"/>
      <color theme="1"/>
      <name val="Calibri"/>
      <scheme val="minor"/>
    </font>
    <font>
      <u/>
      <sz val="11"/>
      <color rgb="FF0000FF"/>
      <name val="Calibri"/>
    </font>
    <font>
      <u/>
      <sz val="11"/>
      <color rgb="FF0000FF"/>
      <name val="Calibri"/>
    </font>
    <font>
      <b/>
      <sz val="22"/>
      <color rgb="FF0F172A"/>
      <name val="Arial"/>
    </font>
    <font>
      <b/>
      <sz val="12"/>
      <color rgb="FFFFFFFF"/>
      <name val="Arial"/>
    </font>
    <font>
      <b/>
      <sz val="10"/>
      <color rgb="FFFFFFFF"/>
      <name val="Arial"/>
    </font>
    <font>
      <b/>
      <sz val="15"/>
      <color rgb="FFFFFFFF"/>
      <name val="Arial"/>
    </font>
  </fonts>
  <fills count="18">
    <fill>
      <patternFill patternType="none"/>
    </fill>
    <fill>
      <patternFill patternType="gray125"/>
    </fill>
    <fill>
      <patternFill patternType="solid">
        <fgColor rgb="FF1E293B"/>
        <bgColor rgb="FF1E293B"/>
      </patternFill>
    </fill>
    <fill>
      <patternFill patternType="solid">
        <fgColor rgb="FF0F172A"/>
        <bgColor rgb="FF0F172A"/>
      </patternFill>
    </fill>
    <fill>
      <patternFill patternType="solid">
        <fgColor rgb="FFEA580C"/>
        <bgColor rgb="FFEA580C"/>
      </patternFill>
    </fill>
    <fill>
      <patternFill patternType="solid">
        <fgColor rgb="FFFFFFFF"/>
        <bgColor rgb="FFFFFFFF"/>
      </patternFill>
    </fill>
    <fill>
      <patternFill patternType="solid">
        <fgColor rgb="FFF8FAFC"/>
        <bgColor rgb="FFF8FAFC"/>
      </patternFill>
    </fill>
    <fill>
      <patternFill patternType="solid">
        <fgColor rgb="FFDCFCE7"/>
        <bgColor rgb="FFDCFCE7"/>
      </patternFill>
    </fill>
    <fill>
      <patternFill patternType="solid">
        <fgColor rgb="FFFEF9C3"/>
        <bgColor rgb="FFFEF9C3"/>
      </patternFill>
    </fill>
    <fill>
      <patternFill patternType="solid">
        <fgColor rgb="FFFEE2E2"/>
        <bgColor rgb="FFFEE2E2"/>
      </patternFill>
    </fill>
    <fill>
      <patternFill patternType="solid">
        <fgColor rgb="FFDBEAFE"/>
        <bgColor rgb="FFDBEAFE"/>
      </patternFill>
    </fill>
    <fill>
      <patternFill patternType="solid">
        <fgColor rgb="FFFCE7F3"/>
        <bgColor rgb="FFFCE7F3"/>
      </patternFill>
    </fill>
    <fill>
      <patternFill patternType="solid">
        <fgColor rgb="FFF5F3FF"/>
        <bgColor rgb="FFF5F3FF"/>
      </patternFill>
    </fill>
    <fill>
      <patternFill patternType="solid">
        <fgColor rgb="FF1D4ED8"/>
        <bgColor rgb="FF1D4ED8"/>
      </patternFill>
    </fill>
    <fill>
      <patternFill patternType="solid">
        <fgColor rgb="FF16A34A"/>
        <bgColor rgb="FF16A34A"/>
      </patternFill>
    </fill>
    <fill>
      <patternFill patternType="solid">
        <fgColor rgb="FFFFF7ED"/>
        <bgColor rgb="FFFFF7ED"/>
      </patternFill>
    </fill>
    <fill>
      <patternFill patternType="solid">
        <fgColor rgb="FFEFF6FF"/>
        <bgColor rgb="FFEFF6FF"/>
      </patternFill>
    </fill>
    <fill>
      <patternFill patternType="solid">
        <fgColor rgb="FFF0FDF4"/>
        <bgColor rgb="FFF0FDF4"/>
      </patternFill>
    </fill>
  </fills>
  <borders count="7">
    <border>
      <left/>
      <right/>
      <top/>
      <bottom/>
      <diagonal/>
    </border>
    <border>
      <left/>
      <right/>
      <top/>
      <bottom/>
      <diagonal/>
    </border>
    <border>
      <left/>
      <right/>
      <top/>
      <bottom/>
      <diagonal/>
    </border>
    <border>
      <left/>
      <right/>
      <top/>
      <bottom/>
      <diagonal/>
    </border>
    <border>
      <left style="thin">
        <color rgb="FFE2E8F0"/>
      </left>
      <right style="thin">
        <color rgb="FFE2E8F0"/>
      </right>
      <top style="thin">
        <color rgb="FFE2E8F0"/>
      </top>
      <bottom style="thin">
        <color rgb="FFE2E8F0"/>
      </bottom>
      <diagonal/>
    </border>
    <border>
      <left style="medium">
        <color rgb="FFEA580C"/>
      </left>
      <right/>
      <top style="medium">
        <color rgb="FFEA580C"/>
      </top>
      <bottom style="medium">
        <color rgb="FFEA580C"/>
      </bottom>
      <diagonal/>
    </border>
    <border>
      <left/>
      <right/>
      <top style="medium">
        <color rgb="FFEA580C"/>
      </top>
      <bottom style="medium">
        <color rgb="FFEA580C"/>
      </bottom>
      <diagonal/>
    </border>
  </borders>
  <cellStyleXfs count="1">
    <xf numFmtId="0" fontId="0" fillId="0" borderId="0"/>
  </cellStyleXfs>
  <cellXfs count="56">
    <xf numFmtId="0" fontId="0" fillId="0" borderId="0" xfId="0"/>
    <xf numFmtId="0" fontId="4" fillId="4" borderId="4" xfId="0" applyFont="1" applyFill="1" applyBorder="1" applyAlignment="1">
      <alignment horizontal="center" vertical="center" wrapText="1"/>
    </xf>
    <xf numFmtId="0" fontId="5" fillId="5" borderId="4" xfId="0" applyFont="1" applyFill="1" applyBorder="1" applyAlignment="1">
      <alignment horizontal="center" vertical="center" wrapText="1"/>
    </xf>
    <xf numFmtId="0" fontId="5" fillId="5" borderId="4" xfId="0" applyFont="1" applyFill="1" applyBorder="1" applyAlignment="1">
      <alignment horizontal="left" vertical="center" wrapText="1"/>
    </xf>
    <xf numFmtId="0" fontId="6" fillId="6" borderId="4" xfId="0" applyFont="1" applyFill="1" applyBorder="1" applyAlignment="1">
      <alignment horizontal="center" vertical="center" wrapText="1"/>
    </xf>
    <xf numFmtId="0" fontId="7" fillId="7" borderId="4" xfId="0" applyFont="1" applyFill="1" applyBorder="1" applyAlignment="1">
      <alignment horizontal="center" vertical="center" wrapText="1"/>
    </xf>
    <xf numFmtId="0" fontId="5" fillId="6" borderId="4" xfId="0" applyFont="1" applyFill="1" applyBorder="1" applyAlignment="1">
      <alignment horizontal="center" vertical="center" wrapText="1"/>
    </xf>
    <xf numFmtId="0" fontId="5" fillId="6" borderId="4" xfId="0" applyFont="1" applyFill="1" applyBorder="1" applyAlignment="1">
      <alignment horizontal="left" vertical="center" wrapText="1"/>
    </xf>
    <xf numFmtId="0" fontId="6" fillId="8" borderId="4" xfId="0" applyFont="1" applyFill="1" applyBorder="1" applyAlignment="1">
      <alignment horizontal="center" vertical="center" wrapText="1"/>
    </xf>
    <xf numFmtId="0" fontId="8" fillId="9" borderId="4" xfId="0" applyFont="1" applyFill="1" applyBorder="1" applyAlignment="1">
      <alignment horizontal="center" vertical="center" wrapText="1"/>
    </xf>
    <xf numFmtId="0" fontId="6" fillId="10" borderId="4" xfId="0" applyFont="1" applyFill="1" applyBorder="1" applyAlignment="1">
      <alignment horizontal="center" vertical="center" wrapText="1"/>
    </xf>
    <xf numFmtId="0" fontId="6" fillId="11" borderId="4" xfId="0" applyFont="1" applyFill="1" applyBorder="1" applyAlignment="1">
      <alignment horizontal="center" vertical="center" wrapText="1"/>
    </xf>
    <xf numFmtId="0" fontId="6" fillId="7" borderId="4" xfId="0" applyFont="1" applyFill="1" applyBorder="1" applyAlignment="1">
      <alignment horizontal="center" vertical="center" wrapText="1"/>
    </xf>
    <xf numFmtId="0" fontId="6" fillId="12" borderId="4" xfId="0" applyFont="1" applyFill="1" applyBorder="1" applyAlignment="1">
      <alignment horizontal="center" vertical="center" wrapText="1"/>
    </xf>
    <xf numFmtId="164" fontId="10" fillId="0" borderId="0" xfId="0" applyNumberFormat="1" applyFont="1" applyAlignment="1">
      <alignment horizontal="center"/>
    </xf>
    <xf numFmtId="18" fontId="10" fillId="0" borderId="0" xfId="0" applyNumberFormat="1" applyFont="1" applyAlignment="1">
      <alignment horizontal="center"/>
    </xf>
    <xf numFmtId="0" fontId="10" fillId="0" borderId="0" xfId="0" applyFont="1" applyAlignment="1">
      <alignment horizontal="center"/>
    </xf>
    <xf numFmtId="0" fontId="11" fillId="0" borderId="0" xfId="0" applyFont="1" applyAlignment="1">
      <alignment horizontal="center"/>
    </xf>
    <xf numFmtId="164" fontId="10" fillId="0" borderId="0" xfId="0" applyNumberFormat="1" applyFont="1"/>
    <xf numFmtId="18" fontId="10" fillId="0" borderId="0" xfId="0" applyNumberFormat="1" applyFont="1"/>
    <xf numFmtId="0" fontId="10" fillId="0" borderId="0" xfId="0" applyFont="1"/>
    <xf numFmtId="0" fontId="12" fillId="0" borderId="0" xfId="0" applyFont="1"/>
    <xf numFmtId="0" fontId="15" fillId="3" borderId="4" xfId="0" applyFont="1" applyFill="1" applyBorder="1" applyAlignment="1">
      <alignment horizontal="center" vertical="center" wrapText="1"/>
    </xf>
    <xf numFmtId="0" fontId="6" fillId="10" borderId="4" xfId="0" applyFont="1" applyFill="1" applyBorder="1" applyAlignment="1">
      <alignment horizontal="left" vertical="center" wrapText="1"/>
    </xf>
    <xf numFmtId="0" fontId="6" fillId="6" borderId="4" xfId="0" applyFont="1" applyFill="1" applyBorder="1" applyAlignment="1">
      <alignment horizontal="left" vertical="center" wrapText="1"/>
    </xf>
    <xf numFmtId="0" fontId="6" fillId="7" borderId="4" xfId="0" applyFont="1" applyFill="1" applyBorder="1" applyAlignment="1">
      <alignment horizontal="left" vertical="center" wrapText="1"/>
    </xf>
    <xf numFmtId="0" fontId="6" fillId="5" borderId="4" xfId="0" applyFont="1" applyFill="1" applyBorder="1" applyAlignment="1">
      <alignment horizontal="left" vertical="center" wrapText="1"/>
    </xf>
    <xf numFmtId="0" fontId="6" fillId="8" borderId="4" xfId="0" applyFont="1" applyFill="1" applyBorder="1" applyAlignment="1">
      <alignment horizontal="left" vertical="center" wrapText="1"/>
    </xf>
    <xf numFmtId="0" fontId="6" fillId="11" borderId="4" xfId="0" applyFont="1" applyFill="1" applyBorder="1" applyAlignment="1">
      <alignment horizontal="left" vertical="center" wrapText="1"/>
    </xf>
    <xf numFmtId="0" fontId="6" fillId="12" borderId="4" xfId="0" applyFont="1" applyFill="1" applyBorder="1" applyAlignment="1">
      <alignment horizontal="left" vertical="center" wrapText="1"/>
    </xf>
    <xf numFmtId="0" fontId="15" fillId="2" borderId="4" xfId="0" applyFont="1" applyFill="1" applyBorder="1" applyAlignment="1">
      <alignment horizontal="center" vertical="center" wrapText="1"/>
    </xf>
    <xf numFmtId="0" fontId="15" fillId="2" borderId="4" xfId="0" applyFont="1" applyFill="1" applyBorder="1" applyAlignment="1">
      <alignment horizontal="left" vertical="center" wrapText="1"/>
    </xf>
    <xf numFmtId="0" fontId="5" fillId="15" borderId="4" xfId="0" applyFont="1" applyFill="1" applyBorder="1" applyAlignment="1">
      <alignment horizontal="center" vertical="center" wrapText="1"/>
    </xf>
    <xf numFmtId="0" fontId="5" fillId="15" borderId="4" xfId="0" applyFont="1" applyFill="1" applyBorder="1" applyAlignment="1">
      <alignment horizontal="left" vertical="center" wrapText="1"/>
    </xf>
    <xf numFmtId="0" fontId="5" fillId="16" borderId="4" xfId="0" applyFont="1" applyFill="1" applyBorder="1" applyAlignment="1">
      <alignment horizontal="center" vertical="center" wrapText="1"/>
    </xf>
    <xf numFmtId="0" fontId="5" fillId="16" borderId="4" xfId="0" applyFont="1" applyFill="1" applyBorder="1" applyAlignment="1">
      <alignment horizontal="left" vertical="center" wrapText="1"/>
    </xf>
    <xf numFmtId="0" fontId="5" fillId="17" borderId="4" xfId="0" applyFont="1" applyFill="1" applyBorder="1" applyAlignment="1">
      <alignment horizontal="center" vertical="center" wrapText="1"/>
    </xf>
    <xf numFmtId="0" fontId="5" fillId="17" borderId="4" xfId="0" applyFont="1" applyFill="1" applyBorder="1" applyAlignment="1">
      <alignment horizontal="left" vertical="center" wrapText="1"/>
    </xf>
    <xf numFmtId="0" fontId="5" fillId="12" borderId="4" xfId="0" applyFont="1" applyFill="1" applyBorder="1" applyAlignment="1">
      <alignment horizontal="center" vertical="center" wrapText="1"/>
    </xf>
    <xf numFmtId="0" fontId="5" fillId="12" borderId="4" xfId="0" applyFont="1" applyFill="1" applyBorder="1" applyAlignment="1">
      <alignment horizontal="left" vertical="center" wrapText="1"/>
    </xf>
    <xf numFmtId="0" fontId="1" fillId="2" borderId="1" xfId="0" applyFont="1" applyFill="1" applyBorder="1" applyAlignment="1">
      <alignment horizontal="center" vertical="center" wrapText="1"/>
    </xf>
    <xf numFmtId="0" fontId="2" fillId="0" borderId="2" xfId="0" applyFont="1" applyBorder="1"/>
    <xf numFmtId="0" fontId="2" fillId="0" borderId="3" xfId="0" applyFont="1" applyBorder="1"/>
    <xf numFmtId="0" fontId="3" fillId="3" borderId="1"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6" fillId="9" borderId="5" xfId="0" applyFont="1" applyFill="1" applyBorder="1" applyAlignment="1">
      <alignment horizontal="center" vertical="center" wrapText="1"/>
    </xf>
    <xf numFmtId="0" fontId="2" fillId="0" borderId="6" xfId="0" applyFont="1" applyBorder="1"/>
    <xf numFmtId="0" fontId="6" fillId="7" borderId="5" xfId="0" applyFont="1" applyFill="1" applyBorder="1" applyAlignment="1">
      <alignment horizontal="center" vertical="center" wrapText="1"/>
    </xf>
    <xf numFmtId="0" fontId="6" fillId="10" borderId="5" xfId="0" applyFont="1" applyFill="1" applyBorder="1" applyAlignment="1">
      <alignment horizontal="center" vertical="center" wrapText="1"/>
    </xf>
    <xf numFmtId="0" fontId="6" fillId="8" borderId="5"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14" fillId="4" borderId="1" xfId="0" applyFont="1" applyFill="1" applyBorder="1" applyAlignment="1">
      <alignment horizontal="center" vertical="center" wrapText="1"/>
    </xf>
    <xf numFmtId="0" fontId="14" fillId="13" borderId="1" xfId="0" applyFont="1" applyFill="1" applyBorder="1" applyAlignment="1">
      <alignment horizontal="center" vertical="center" wrapText="1"/>
    </xf>
    <xf numFmtId="0" fontId="14" fillId="14" borderId="1" xfId="0" applyFont="1" applyFill="1" applyBorder="1" applyAlignment="1">
      <alignment horizontal="center" vertical="center" wrapText="1"/>
    </xf>
    <xf numFmtId="0" fontId="13" fillId="5" borderId="5" xfId="0" applyFont="1" applyFill="1" applyBorder="1" applyAlignment="1">
      <alignment horizontal="center" vertical="center" wrapText="1"/>
    </xf>
    <xf numFmtId="0" fontId="16" fillId="2"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freelancer.com/" TargetMode="External"/><Relationship Id="rId2" Type="http://schemas.openxmlformats.org/officeDocument/2006/relationships/hyperlink" Target="http://freelancer.com/" TargetMode="External"/><Relationship Id="rId1" Type="http://schemas.openxmlformats.org/officeDocument/2006/relationships/hyperlink" Target="http://freelance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3"/>
  <sheetViews>
    <sheetView tabSelected="1" workbookViewId="0"/>
  </sheetViews>
  <sheetFormatPr defaultColWidth="14.44140625" defaultRowHeight="15" customHeight="1"/>
  <cols>
    <col min="1" max="1" width="36.6640625" customWidth="1"/>
    <col min="2" max="2" width="42.6640625" customWidth="1"/>
    <col min="3" max="3" width="48.6640625" customWidth="1"/>
    <col min="4" max="4" width="57.109375" customWidth="1"/>
    <col min="5" max="5" width="64.88671875" customWidth="1"/>
    <col min="6" max="6" width="66.6640625" customWidth="1"/>
    <col min="7" max="7" width="68.6640625" customWidth="1"/>
    <col min="8" max="8" width="77.6640625" customWidth="1"/>
    <col min="9" max="26" width="8.6640625" customWidth="1"/>
  </cols>
  <sheetData>
    <row r="1" spans="1:8" ht="14.25" customHeight="1">
      <c r="A1" s="1" t="s">
        <v>0</v>
      </c>
      <c r="B1" s="1" t="s">
        <v>1</v>
      </c>
      <c r="C1" s="1" t="s">
        <v>2</v>
      </c>
      <c r="D1" s="1" t="s">
        <v>3</v>
      </c>
      <c r="E1" s="1" t="s">
        <v>4</v>
      </c>
      <c r="F1" s="1" t="s">
        <v>5</v>
      </c>
      <c r="G1" s="1" t="s">
        <v>6</v>
      </c>
      <c r="H1" s="1" t="s">
        <v>7</v>
      </c>
    </row>
    <row r="2" spans="1:8" ht="14.25" customHeight="1">
      <c r="A2" s="2" t="s">
        <v>8</v>
      </c>
      <c r="B2" s="2" t="s">
        <v>9</v>
      </c>
      <c r="C2" s="3" t="s">
        <v>10</v>
      </c>
      <c r="D2" s="3" t="s">
        <v>11</v>
      </c>
      <c r="E2" s="3" t="s">
        <v>12</v>
      </c>
      <c r="F2" s="3" t="s">
        <v>13</v>
      </c>
      <c r="G2" s="4" t="s">
        <v>14</v>
      </c>
      <c r="H2" s="5" t="s">
        <v>15</v>
      </c>
    </row>
    <row r="3" spans="1:8" ht="14.25" customHeight="1">
      <c r="A3" s="6" t="s">
        <v>8</v>
      </c>
      <c r="B3" s="6" t="s">
        <v>16</v>
      </c>
      <c r="C3" s="7" t="s">
        <v>17</v>
      </c>
      <c r="D3" s="7" t="s">
        <v>18</v>
      </c>
      <c r="E3" s="7" t="s">
        <v>19</v>
      </c>
      <c r="F3" s="7" t="s">
        <v>20</v>
      </c>
      <c r="G3" s="8" t="s">
        <v>21</v>
      </c>
      <c r="H3" s="9" t="s">
        <v>22</v>
      </c>
    </row>
    <row r="4" spans="1:8" ht="14.25" customHeight="1">
      <c r="A4" s="2" t="s">
        <v>8</v>
      </c>
      <c r="B4" s="2" t="s">
        <v>23</v>
      </c>
      <c r="C4" s="3" t="s">
        <v>24</v>
      </c>
      <c r="D4" s="3" t="s">
        <v>25</v>
      </c>
      <c r="E4" s="3" t="s">
        <v>26</v>
      </c>
      <c r="F4" s="3" t="s">
        <v>27</v>
      </c>
      <c r="G4" s="10" t="s">
        <v>28</v>
      </c>
      <c r="H4" s="5" t="s">
        <v>15</v>
      </c>
    </row>
    <row r="5" spans="1:8" ht="14.25" customHeight="1">
      <c r="A5" s="6" t="s">
        <v>8</v>
      </c>
      <c r="B5" s="6" t="s">
        <v>29</v>
      </c>
      <c r="C5" s="7" t="s">
        <v>30</v>
      </c>
      <c r="D5" s="7" t="s">
        <v>31</v>
      </c>
      <c r="E5" s="7" t="s">
        <v>32</v>
      </c>
      <c r="F5" s="7" t="s">
        <v>33</v>
      </c>
      <c r="G5" s="11" t="s">
        <v>34</v>
      </c>
      <c r="H5" s="9" t="s">
        <v>22</v>
      </c>
    </row>
    <row r="6" spans="1:8" ht="14.25" customHeight="1">
      <c r="A6" s="2" t="s">
        <v>8</v>
      </c>
      <c r="B6" s="2" t="s">
        <v>35</v>
      </c>
      <c r="C6" s="3" t="s">
        <v>36</v>
      </c>
      <c r="D6" s="3" t="s">
        <v>37</v>
      </c>
      <c r="E6" s="3" t="s">
        <v>38</v>
      </c>
      <c r="F6" s="3" t="s">
        <v>39</v>
      </c>
      <c r="G6" s="12" t="s">
        <v>40</v>
      </c>
      <c r="H6" s="5" t="s">
        <v>15</v>
      </c>
    </row>
    <row r="7" spans="1:8" ht="14.25" customHeight="1">
      <c r="A7" s="6" t="s">
        <v>8</v>
      </c>
      <c r="B7" s="6" t="s">
        <v>41</v>
      </c>
      <c r="C7" s="7" t="s">
        <v>42</v>
      </c>
      <c r="D7" s="7" t="s">
        <v>43</v>
      </c>
      <c r="E7" s="7" t="s">
        <v>44</v>
      </c>
      <c r="F7" s="7" t="s">
        <v>45</v>
      </c>
      <c r="G7" s="10" t="s">
        <v>28</v>
      </c>
      <c r="H7" s="9" t="s">
        <v>22</v>
      </c>
    </row>
    <row r="8" spans="1:8" ht="14.25" customHeight="1">
      <c r="A8" s="2" t="s">
        <v>8</v>
      </c>
      <c r="B8" s="2" t="s">
        <v>46</v>
      </c>
      <c r="C8" s="3" t="s">
        <v>47</v>
      </c>
      <c r="D8" s="3" t="s">
        <v>48</v>
      </c>
      <c r="E8" s="3" t="s">
        <v>49</v>
      </c>
      <c r="F8" s="3" t="s">
        <v>50</v>
      </c>
      <c r="G8" s="8" t="s">
        <v>21</v>
      </c>
      <c r="H8" s="5" t="s">
        <v>15</v>
      </c>
    </row>
    <row r="9" spans="1:8" ht="14.25" customHeight="1">
      <c r="A9" s="6" t="s">
        <v>8</v>
      </c>
      <c r="B9" s="6" t="s">
        <v>51</v>
      </c>
      <c r="C9" s="7" t="s">
        <v>52</v>
      </c>
      <c r="D9" s="7" t="s">
        <v>53</v>
      </c>
      <c r="E9" s="7" t="s">
        <v>54</v>
      </c>
      <c r="F9" s="7" t="s">
        <v>55</v>
      </c>
      <c r="G9" s="10" t="s">
        <v>28</v>
      </c>
      <c r="H9" s="9" t="s">
        <v>22</v>
      </c>
    </row>
    <row r="10" spans="1:8" ht="14.25" customHeight="1">
      <c r="A10" s="2" t="s">
        <v>8</v>
      </c>
      <c r="B10" s="2" t="s">
        <v>56</v>
      </c>
      <c r="C10" s="3" t="s">
        <v>57</v>
      </c>
      <c r="D10" s="3" t="s">
        <v>58</v>
      </c>
      <c r="E10" s="3" t="s">
        <v>59</v>
      </c>
      <c r="F10" s="3" t="s">
        <v>60</v>
      </c>
      <c r="G10" s="13" t="s">
        <v>61</v>
      </c>
      <c r="H10" s="5" t="s">
        <v>15</v>
      </c>
    </row>
    <row r="11" spans="1:8" ht="14.25" customHeight="1">
      <c r="A11" s="6" t="s">
        <v>8</v>
      </c>
      <c r="B11" s="6" t="s">
        <v>62</v>
      </c>
      <c r="C11" s="7" t="s">
        <v>63</v>
      </c>
      <c r="D11" s="7" t="s">
        <v>64</v>
      </c>
      <c r="E11" s="7" t="s">
        <v>65</v>
      </c>
      <c r="F11" s="7" t="s">
        <v>66</v>
      </c>
      <c r="G11" s="12" t="s">
        <v>40</v>
      </c>
      <c r="H11" s="5" t="s">
        <v>15</v>
      </c>
    </row>
    <row r="12" spans="1:8" ht="14.25" customHeight="1">
      <c r="A12" s="2" t="s">
        <v>8</v>
      </c>
      <c r="B12" s="2" t="s">
        <v>67</v>
      </c>
      <c r="C12" s="3" t="s">
        <v>68</v>
      </c>
      <c r="D12" s="3" t="s">
        <v>69</v>
      </c>
      <c r="E12" s="3" t="s">
        <v>70</v>
      </c>
      <c r="F12" s="3" t="s">
        <v>71</v>
      </c>
      <c r="G12" s="4" t="s">
        <v>14</v>
      </c>
      <c r="H12" s="9" t="s">
        <v>22</v>
      </c>
    </row>
    <row r="13" spans="1:8" ht="14.25" customHeight="1">
      <c r="A13" s="6" t="s">
        <v>8</v>
      </c>
      <c r="B13" s="6" t="s">
        <v>72</v>
      </c>
      <c r="C13" s="7" t="s">
        <v>73</v>
      </c>
      <c r="D13" s="7" t="s">
        <v>74</v>
      </c>
      <c r="E13" s="7" t="s">
        <v>75</v>
      </c>
      <c r="F13" s="7" t="s">
        <v>76</v>
      </c>
      <c r="G13" s="12" t="s">
        <v>40</v>
      </c>
      <c r="H13" s="9" t="s">
        <v>22</v>
      </c>
    </row>
    <row r="14" spans="1:8" ht="14.25" customHeight="1">
      <c r="A14" s="2" t="s">
        <v>8</v>
      </c>
      <c r="B14" s="2" t="s">
        <v>77</v>
      </c>
      <c r="C14" s="3" t="s">
        <v>78</v>
      </c>
      <c r="D14" s="3" t="s">
        <v>79</v>
      </c>
      <c r="E14" s="3" t="s">
        <v>80</v>
      </c>
      <c r="F14" s="3" t="s">
        <v>81</v>
      </c>
      <c r="G14" s="11" t="s">
        <v>34</v>
      </c>
      <c r="H14" s="5" t="s">
        <v>15</v>
      </c>
    </row>
    <row r="15" spans="1:8" ht="14.25" customHeight="1">
      <c r="A15" s="6" t="s">
        <v>8</v>
      </c>
      <c r="B15" s="6" t="s">
        <v>82</v>
      </c>
      <c r="C15" s="7" t="s">
        <v>83</v>
      </c>
      <c r="D15" s="7" t="s">
        <v>84</v>
      </c>
      <c r="E15" s="7" t="s">
        <v>85</v>
      </c>
      <c r="F15" s="7" t="s">
        <v>86</v>
      </c>
      <c r="G15" s="12" t="s">
        <v>40</v>
      </c>
      <c r="H15" s="5" t="s">
        <v>15</v>
      </c>
    </row>
    <row r="16" spans="1:8" ht="14.25" customHeight="1">
      <c r="A16" s="2" t="s">
        <v>8</v>
      </c>
      <c r="B16" s="2" t="s">
        <v>87</v>
      </c>
      <c r="C16" s="3" t="s">
        <v>88</v>
      </c>
      <c r="D16" s="3" t="s">
        <v>89</v>
      </c>
      <c r="E16" s="3" t="s">
        <v>90</v>
      </c>
      <c r="F16" s="3" t="s">
        <v>91</v>
      </c>
      <c r="G16" s="4" t="s">
        <v>14</v>
      </c>
      <c r="H16" s="9" t="s">
        <v>22</v>
      </c>
    </row>
    <row r="17" spans="1:8" ht="14.25" customHeight="1">
      <c r="A17" s="14">
        <v>46206</v>
      </c>
      <c r="B17" s="15">
        <v>0.83333333333333337</v>
      </c>
      <c r="C17" s="16" t="s">
        <v>68</v>
      </c>
      <c r="D17" s="16" t="s">
        <v>92</v>
      </c>
      <c r="E17" s="16" t="s">
        <v>93</v>
      </c>
      <c r="F17" s="16" t="s">
        <v>94</v>
      </c>
      <c r="G17" s="16" t="s">
        <v>95</v>
      </c>
      <c r="H17" s="16" t="s">
        <v>22</v>
      </c>
    </row>
    <row r="18" spans="1:8" ht="14.25" customHeight="1">
      <c r="A18" s="14">
        <v>46206</v>
      </c>
      <c r="B18" s="15">
        <v>0.83333333333333337</v>
      </c>
      <c r="C18" s="16" t="s">
        <v>96</v>
      </c>
      <c r="D18" s="16" t="s">
        <v>97</v>
      </c>
      <c r="E18" s="16" t="s">
        <v>98</v>
      </c>
      <c r="F18" s="16" t="s">
        <v>99</v>
      </c>
      <c r="G18" s="16" t="s">
        <v>100</v>
      </c>
      <c r="H18" s="16" t="s">
        <v>22</v>
      </c>
    </row>
    <row r="19" spans="1:8" ht="14.25" customHeight="1">
      <c r="A19" s="14">
        <v>46206</v>
      </c>
      <c r="B19" s="15">
        <v>0.83333333333333337</v>
      </c>
      <c r="C19" s="16" t="s">
        <v>101</v>
      </c>
      <c r="D19" s="16" t="s">
        <v>102</v>
      </c>
      <c r="E19" s="16" t="s">
        <v>103</v>
      </c>
      <c r="F19" s="16" t="s">
        <v>104</v>
      </c>
      <c r="G19" s="16" t="s">
        <v>95</v>
      </c>
      <c r="H19" s="16" t="s">
        <v>22</v>
      </c>
    </row>
    <row r="20" spans="1:8" ht="14.25" customHeight="1">
      <c r="A20" s="14">
        <v>46206</v>
      </c>
      <c r="B20" s="15">
        <v>0.83333333333333337</v>
      </c>
      <c r="C20" s="16" t="s">
        <v>30</v>
      </c>
      <c r="D20" s="16" t="s">
        <v>105</v>
      </c>
      <c r="E20" s="16" t="s">
        <v>106</v>
      </c>
      <c r="F20" s="16" t="s">
        <v>107</v>
      </c>
      <c r="G20" s="16" t="s">
        <v>100</v>
      </c>
      <c r="H20" s="16" t="s">
        <v>22</v>
      </c>
    </row>
    <row r="21" spans="1:8" ht="14.25" customHeight="1">
      <c r="A21" s="14">
        <v>46206</v>
      </c>
      <c r="B21" s="15">
        <v>0.83333333333333337</v>
      </c>
      <c r="C21" s="16" t="s">
        <v>108</v>
      </c>
      <c r="D21" s="16" t="s">
        <v>109</v>
      </c>
      <c r="E21" s="16" t="s">
        <v>110</v>
      </c>
      <c r="F21" s="16" t="s">
        <v>111</v>
      </c>
      <c r="G21" s="16" t="s">
        <v>100</v>
      </c>
      <c r="H21" s="16" t="s">
        <v>22</v>
      </c>
    </row>
    <row r="22" spans="1:8" ht="14.25" customHeight="1">
      <c r="A22" s="14">
        <v>46206</v>
      </c>
      <c r="B22" s="15">
        <v>0.83333333333333337</v>
      </c>
      <c r="C22" s="16" t="s">
        <v>112</v>
      </c>
      <c r="D22" s="16" t="s">
        <v>113</v>
      </c>
      <c r="E22" s="16" t="s">
        <v>114</v>
      </c>
      <c r="F22" s="16" t="s">
        <v>115</v>
      </c>
      <c r="G22" s="16" t="s">
        <v>95</v>
      </c>
      <c r="H22" s="16" t="s">
        <v>22</v>
      </c>
    </row>
    <row r="23" spans="1:8" ht="14.25" customHeight="1">
      <c r="A23" s="14">
        <v>46206</v>
      </c>
      <c r="B23" s="15">
        <v>0.83333333333333337</v>
      </c>
      <c r="C23" s="16" t="s">
        <v>116</v>
      </c>
      <c r="D23" s="16" t="s">
        <v>117</v>
      </c>
      <c r="E23" s="16" t="s">
        <v>118</v>
      </c>
      <c r="F23" s="16" t="s">
        <v>119</v>
      </c>
      <c r="G23" s="16" t="s">
        <v>95</v>
      </c>
      <c r="H23" s="16" t="s">
        <v>22</v>
      </c>
    </row>
    <row r="24" spans="1:8" ht="14.25" customHeight="1">
      <c r="A24" s="14">
        <v>46206</v>
      </c>
      <c r="B24" s="15">
        <v>0.83333333333333337</v>
      </c>
      <c r="C24" s="16" t="s">
        <v>112</v>
      </c>
      <c r="D24" s="16" t="s">
        <v>120</v>
      </c>
      <c r="E24" s="16" t="s">
        <v>121</v>
      </c>
      <c r="F24" s="16" t="s">
        <v>122</v>
      </c>
      <c r="G24" s="16" t="s">
        <v>95</v>
      </c>
      <c r="H24" s="16" t="s">
        <v>22</v>
      </c>
    </row>
    <row r="25" spans="1:8" ht="14.25" customHeight="1">
      <c r="A25" s="14">
        <v>46206</v>
      </c>
      <c r="B25" s="15">
        <v>0.83333333333333337</v>
      </c>
      <c r="C25" s="17" t="s">
        <v>123</v>
      </c>
      <c r="D25" s="16" t="s">
        <v>124</v>
      </c>
      <c r="E25" s="16" t="s">
        <v>125</v>
      </c>
      <c r="F25" s="16" t="s">
        <v>126</v>
      </c>
      <c r="G25" s="16" t="s">
        <v>100</v>
      </c>
      <c r="H25" s="16" t="s">
        <v>22</v>
      </c>
    </row>
    <row r="26" spans="1:8" ht="14.25" customHeight="1">
      <c r="A26" s="14">
        <v>46206</v>
      </c>
      <c r="B26" s="15">
        <v>0.83333333333333337</v>
      </c>
      <c r="C26" s="16" t="s">
        <v>127</v>
      </c>
      <c r="D26" s="16" t="s">
        <v>109</v>
      </c>
      <c r="E26" s="16" t="s">
        <v>128</v>
      </c>
      <c r="F26" s="16" t="s">
        <v>129</v>
      </c>
      <c r="G26" s="16" t="s">
        <v>100</v>
      </c>
      <c r="H26" s="16" t="s">
        <v>22</v>
      </c>
    </row>
    <row r="27" spans="1:8" ht="14.25" customHeight="1">
      <c r="A27" s="14">
        <v>46206</v>
      </c>
      <c r="B27" s="15">
        <v>0.84097222222222223</v>
      </c>
      <c r="C27" s="16" t="s">
        <v>130</v>
      </c>
      <c r="D27" s="16" t="s">
        <v>131</v>
      </c>
      <c r="E27" s="16" t="s">
        <v>132</v>
      </c>
      <c r="F27" s="16" t="s">
        <v>133</v>
      </c>
      <c r="G27" s="16" t="s">
        <v>95</v>
      </c>
      <c r="H27" s="16" t="s">
        <v>22</v>
      </c>
    </row>
    <row r="28" spans="1:8" ht="14.25" customHeight="1">
      <c r="A28" s="14">
        <v>46206</v>
      </c>
      <c r="B28" s="15">
        <v>0.84097222222222223</v>
      </c>
      <c r="C28" s="16" t="s">
        <v>134</v>
      </c>
      <c r="D28" s="16" t="s">
        <v>109</v>
      </c>
      <c r="E28" s="16" t="s">
        <v>135</v>
      </c>
      <c r="F28" s="16" t="s">
        <v>136</v>
      </c>
      <c r="G28" s="16" t="s">
        <v>100</v>
      </c>
      <c r="H28" s="16" t="s">
        <v>22</v>
      </c>
    </row>
    <row r="29" spans="1:8" ht="14.25" customHeight="1">
      <c r="A29" s="14">
        <v>46206</v>
      </c>
      <c r="B29" s="15">
        <v>0.84097222222222223</v>
      </c>
      <c r="C29" s="16" t="s">
        <v>30</v>
      </c>
      <c r="D29" s="16" t="s">
        <v>31</v>
      </c>
      <c r="E29" s="16" t="s">
        <v>137</v>
      </c>
      <c r="F29" s="16" t="s">
        <v>138</v>
      </c>
      <c r="G29" s="16" t="s">
        <v>139</v>
      </c>
      <c r="H29" s="16" t="s">
        <v>22</v>
      </c>
    </row>
    <row r="30" spans="1:8" ht="14.25" customHeight="1">
      <c r="A30" s="14">
        <v>46206</v>
      </c>
      <c r="B30" s="15">
        <v>0.84097222222222223</v>
      </c>
      <c r="C30" s="16" t="s">
        <v>30</v>
      </c>
      <c r="D30" s="16" t="s">
        <v>31</v>
      </c>
      <c r="E30" s="16" t="s">
        <v>140</v>
      </c>
      <c r="F30" s="16" t="s">
        <v>141</v>
      </c>
      <c r="G30" s="16" t="s">
        <v>139</v>
      </c>
      <c r="H30" s="16" t="s">
        <v>22</v>
      </c>
    </row>
    <row r="31" spans="1:8" ht="14.25" customHeight="1">
      <c r="A31" s="14">
        <v>46206</v>
      </c>
      <c r="B31" s="15">
        <v>0.84097222222222223</v>
      </c>
      <c r="C31" s="16" t="s">
        <v>68</v>
      </c>
      <c r="D31" s="16" t="s">
        <v>92</v>
      </c>
      <c r="E31" s="16" t="s">
        <v>142</v>
      </c>
      <c r="F31" s="16" t="s">
        <v>143</v>
      </c>
      <c r="G31" s="16" t="s">
        <v>95</v>
      </c>
      <c r="H31" s="16" t="s">
        <v>22</v>
      </c>
    </row>
    <row r="32" spans="1:8" ht="14.25" customHeight="1">
      <c r="A32" s="14">
        <v>46206</v>
      </c>
      <c r="B32" s="15">
        <v>0.84097222222222223</v>
      </c>
      <c r="C32" s="16" t="s">
        <v>127</v>
      </c>
      <c r="D32" s="16" t="s">
        <v>109</v>
      </c>
      <c r="E32" s="16" t="s">
        <v>144</v>
      </c>
      <c r="F32" s="16" t="s">
        <v>145</v>
      </c>
      <c r="G32" s="16" t="s">
        <v>100</v>
      </c>
      <c r="H32" s="16" t="s">
        <v>22</v>
      </c>
    </row>
    <row r="33" spans="1:8" ht="14.25" customHeight="1">
      <c r="A33" s="14">
        <v>46206</v>
      </c>
      <c r="B33" s="15">
        <v>0.84097222222222223</v>
      </c>
      <c r="C33" s="17" t="s">
        <v>123</v>
      </c>
      <c r="D33" s="16" t="s">
        <v>124</v>
      </c>
      <c r="E33" s="16" t="s">
        <v>146</v>
      </c>
      <c r="F33" s="16" t="s">
        <v>147</v>
      </c>
      <c r="G33" s="16" t="s">
        <v>100</v>
      </c>
      <c r="H33" s="16" t="s">
        <v>22</v>
      </c>
    </row>
    <row r="34" spans="1:8" ht="14.25" customHeight="1">
      <c r="A34" s="14">
        <v>46206</v>
      </c>
      <c r="B34" s="15">
        <v>0.84097222222222223</v>
      </c>
      <c r="C34" s="16" t="s">
        <v>148</v>
      </c>
      <c r="D34" s="16" t="s">
        <v>149</v>
      </c>
      <c r="E34" s="16" t="s">
        <v>150</v>
      </c>
      <c r="F34" s="16" t="s">
        <v>151</v>
      </c>
      <c r="G34" s="16" t="s">
        <v>100</v>
      </c>
      <c r="H34" s="16" t="s">
        <v>22</v>
      </c>
    </row>
    <row r="35" spans="1:8" ht="14.25" customHeight="1">
      <c r="A35" s="14">
        <v>46206</v>
      </c>
      <c r="B35" s="15">
        <v>0.84097222222222223</v>
      </c>
      <c r="C35" s="16" t="s">
        <v>30</v>
      </c>
      <c r="D35" s="16" t="s">
        <v>105</v>
      </c>
      <c r="E35" s="16" t="s">
        <v>152</v>
      </c>
      <c r="F35" s="16" t="s">
        <v>153</v>
      </c>
      <c r="G35" s="16" t="s">
        <v>100</v>
      </c>
      <c r="H35" s="16" t="s">
        <v>22</v>
      </c>
    </row>
    <row r="36" spans="1:8" ht="14.25" customHeight="1">
      <c r="A36" s="14">
        <v>46206</v>
      </c>
      <c r="B36" s="15">
        <v>0.84097222222222223</v>
      </c>
      <c r="C36" s="16" t="s">
        <v>101</v>
      </c>
      <c r="D36" s="16" t="s">
        <v>102</v>
      </c>
      <c r="E36" s="16" t="s">
        <v>154</v>
      </c>
      <c r="F36" s="16" t="s">
        <v>155</v>
      </c>
      <c r="G36" s="16" t="s">
        <v>95</v>
      </c>
      <c r="H36" s="16" t="s">
        <v>22</v>
      </c>
    </row>
    <row r="37" spans="1:8" ht="14.25" customHeight="1">
      <c r="A37" s="18">
        <v>46206</v>
      </c>
      <c r="B37" s="19">
        <v>0.87777777777777777</v>
      </c>
      <c r="C37" s="20" t="s">
        <v>130</v>
      </c>
      <c r="D37" s="20" t="s">
        <v>131</v>
      </c>
      <c r="E37" s="20" t="s">
        <v>156</v>
      </c>
      <c r="F37" s="20" t="s">
        <v>157</v>
      </c>
      <c r="G37" s="20" t="s">
        <v>100</v>
      </c>
      <c r="H37" s="20" t="s">
        <v>22</v>
      </c>
    </row>
    <row r="38" spans="1:8" ht="14.25" customHeight="1">
      <c r="A38" s="18">
        <v>46206</v>
      </c>
      <c r="B38" s="19">
        <v>0.87777777777777777</v>
      </c>
      <c r="C38" s="20" t="s">
        <v>158</v>
      </c>
      <c r="D38" s="20" t="s">
        <v>109</v>
      </c>
      <c r="E38" s="20" t="s">
        <v>159</v>
      </c>
      <c r="F38" s="20" t="s">
        <v>160</v>
      </c>
      <c r="G38" s="20" t="s">
        <v>100</v>
      </c>
      <c r="H38" s="20" t="s">
        <v>22</v>
      </c>
    </row>
    <row r="39" spans="1:8" ht="14.25" customHeight="1">
      <c r="A39" s="18">
        <v>46206</v>
      </c>
      <c r="B39" s="19">
        <v>0.87777777777777777</v>
      </c>
      <c r="C39" s="20" t="s">
        <v>112</v>
      </c>
      <c r="D39" s="20" t="s">
        <v>161</v>
      </c>
      <c r="E39" s="20" t="s">
        <v>162</v>
      </c>
      <c r="F39" s="20" t="s">
        <v>163</v>
      </c>
      <c r="G39" s="20" t="s">
        <v>100</v>
      </c>
      <c r="H39" s="20" t="s">
        <v>22</v>
      </c>
    </row>
    <row r="40" spans="1:8" ht="14.25" customHeight="1">
      <c r="A40" s="18">
        <v>46206</v>
      </c>
      <c r="B40" s="19">
        <v>0.87777777777777777</v>
      </c>
      <c r="C40" s="20" t="s">
        <v>164</v>
      </c>
      <c r="D40" s="20" t="s">
        <v>165</v>
      </c>
      <c r="E40" s="20" t="s">
        <v>166</v>
      </c>
      <c r="F40" s="20" t="s">
        <v>167</v>
      </c>
      <c r="G40" s="20" t="s">
        <v>95</v>
      </c>
      <c r="H40" s="20" t="s">
        <v>22</v>
      </c>
    </row>
    <row r="41" spans="1:8" ht="14.25" customHeight="1">
      <c r="A41" s="18">
        <v>46206</v>
      </c>
      <c r="B41" s="19">
        <v>0.87777777777777777</v>
      </c>
      <c r="C41" s="20" t="s">
        <v>168</v>
      </c>
      <c r="D41" s="20" t="s">
        <v>169</v>
      </c>
      <c r="E41" s="20" t="s">
        <v>170</v>
      </c>
      <c r="F41" s="20" t="s">
        <v>171</v>
      </c>
      <c r="G41" s="20" t="s">
        <v>100</v>
      </c>
      <c r="H41" s="20" t="s">
        <v>22</v>
      </c>
    </row>
    <row r="42" spans="1:8" ht="14.25" customHeight="1">
      <c r="A42" s="18">
        <v>46206</v>
      </c>
      <c r="B42" s="19">
        <v>0.87777777777777777</v>
      </c>
      <c r="C42" s="20" t="s">
        <v>130</v>
      </c>
      <c r="D42" s="20" t="s">
        <v>131</v>
      </c>
      <c r="E42" s="20" t="s">
        <v>172</v>
      </c>
      <c r="F42" s="20" t="s">
        <v>173</v>
      </c>
      <c r="G42" s="20" t="s">
        <v>95</v>
      </c>
      <c r="H42" s="20" t="s">
        <v>22</v>
      </c>
    </row>
    <row r="43" spans="1:8" ht="14.25" customHeight="1">
      <c r="A43" s="18">
        <v>46206</v>
      </c>
      <c r="B43" s="19">
        <v>0.87777777777777777</v>
      </c>
      <c r="C43" s="20" t="s">
        <v>127</v>
      </c>
      <c r="D43" s="20" t="s">
        <v>109</v>
      </c>
      <c r="E43" s="20" t="s">
        <v>144</v>
      </c>
      <c r="F43" s="20" t="s">
        <v>145</v>
      </c>
      <c r="G43" s="20" t="s">
        <v>100</v>
      </c>
      <c r="H43" s="20" t="s">
        <v>22</v>
      </c>
    </row>
    <row r="44" spans="1:8" ht="14.25" customHeight="1">
      <c r="A44" s="18">
        <v>46206</v>
      </c>
      <c r="B44" s="19">
        <v>0.87777777777777777</v>
      </c>
      <c r="C44" s="20" t="s">
        <v>112</v>
      </c>
      <c r="D44" s="20" t="s">
        <v>120</v>
      </c>
      <c r="E44" s="20" t="s">
        <v>174</v>
      </c>
      <c r="F44" s="20" t="s">
        <v>175</v>
      </c>
      <c r="G44" s="20" t="s">
        <v>95</v>
      </c>
      <c r="H44" s="20" t="s">
        <v>22</v>
      </c>
    </row>
    <row r="45" spans="1:8" ht="14.25" customHeight="1">
      <c r="A45" s="18">
        <v>46206</v>
      </c>
      <c r="B45" s="19">
        <v>0.87777777777777777</v>
      </c>
      <c r="C45" s="21" t="s">
        <v>123</v>
      </c>
      <c r="D45" s="20" t="s">
        <v>124</v>
      </c>
      <c r="E45" s="20" t="s">
        <v>146</v>
      </c>
      <c r="F45" s="20" t="s">
        <v>176</v>
      </c>
      <c r="G45" s="20" t="s">
        <v>100</v>
      </c>
      <c r="H45" s="20" t="s">
        <v>22</v>
      </c>
    </row>
    <row r="46" spans="1:8" ht="14.25" customHeight="1">
      <c r="A46" s="18">
        <v>46206</v>
      </c>
      <c r="B46" s="19">
        <v>0.87777777777777777</v>
      </c>
      <c r="C46" s="20" t="s">
        <v>177</v>
      </c>
      <c r="D46" s="20" t="s">
        <v>178</v>
      </c>
      <c r="E46" s="20" t="s">
        <v>179</v>
      </c>
      <c r="F46" s="20" t="s">
        <v>180</v>
      </c>
      <c r="G46" s="20" t="s">
        <v>100</v>
      </c>
      <c r="H46" s="20" t="s">
        <v>22</v>
      </c>
    </row>
    <row r="47" spans="1:8" ht="14.25" customHeight="1"/>
    <row r="48" spans="1: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hyperlinks>
    <hyperlink ref="C25" r:id="rId1" xr:uid="{00000000-0004-0000-0100-000000000000}"/>
    <hyperlink ref="C33" r:id="rId2" xr:uid="{00000000-0004-0000-0100-000001000000}"/>
    <hyperlink ref="C45" r:id="rId3" xr:uid="{00000000-0004-0000-0100-000002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D4ED8"/>
  </sheetPr>
  <dimension ref="A1:L1000"/>
  <sheetViews>
    <sheetView showGridLines="0" workbookViewId="0"/>
  </sheetViews>
  <sheetFormatPr defaultColWidth="14.44140625" defaultRowHeight="15" customHeight="1"/>
  <cols>
    <col min="1" max="12" width="12" customWidth="1"/>
    <col min="13" max="26" width="8.6640625" customWidth="1"/>
  </cols>
  <sheetData>
    <row r="1" spans="1:12" ht="36" customHeight="1">
      <c r="A1" s="40" t="s">
        <v>181</v>
      </c>
      <c r="B1" s="41"/>
      <c r="C1" s="41"/>
      <c r="D1" s="41"/>
      <c r="E1" s="41"/>
      <c r="F1" s="41"/>
      <c r="G1" s="41"/>
      <c r="H1" s="41"/>
      <c r="I1" s="41"/>
      <c r="J1" s="41"/>
      <c r="K1" s="41"/>
      <c r="L1" s="42"/>
    </row>
    <row r="2" spans="1:12" ht="21.75" customHeight="1">
      <c r="A2" s="43" t="s">
        <v>182</v>
      </c>
      <c r="B2" s="41"/>
      <c r="C2" s="41"/>
      <c r="D2" s="41"/>
      <c r="E2" s="41"/>
      <c r="F2" s="41"/>
      <c r="G2" s="41"/>
      <c r="H2" s="41"/>
      <c r="I2" s="41"/>
      <c r="J2" s="41"/>
      <c r="K2" s="41"/>
      <c r="L2" s="42"/>
    </row>
    <row r="3" spans="1:12" ht="14.25" customHeight="1"/>
    <row r="4" spans="1:12" ht="24" customHeight="1">
      <c r="A4" s="48" t="s">
        <v>183</v>
      </c>
      <c r="B4" s="46"/>
      <c r="C4" s="45" t="s">
        <v>184</v>
      </c>
      <c r="D4" s="46"/>
      <c r="E4" s="47" t="s">
        <v>185</v>
      </c>
      <c r="F4" s="46"/>
      <c r="G4" s="48" t="s">
        <v>186</v>
      </c>
      <c r="H4" s="46"/>
      <c r="I4" s="49" t="s">
        <v>187</v>
      </c>
      <c r="J4" s="46"/>
      <c r="K4" s="50" t="s">
        <v>188</v>
      </c>
      <c r="L4" s="46"/>
    </row>
    <row r="5" spans="1:12" ht="43.5" customHeight="1">
      <c r="A5" s="54">
        <f>COUNTA(#REF!)</f>
        <v>1</v>
      </c>
      <c r="B5" s="46"/>
      <c r="C5" s="54" t="e">
        <f>COUNTIF(#REF!,"Unread")</f>
        <v>#REF!</v>
      </c>
      <c r="D5" s="46"/>
      <c r="E5" s="54" t="e">
        <f>COUNTIF(#REF!,"Read")</f>
        <v>#REF!</v>
      </c>
      <c r="F5" s="46"/>
      <c r="G5" s="54" t="e">
        <f>COUNTIF(#REF!,"Work")</f>
        <v>#REF!</v>
      </c>
      <c r="H5" s="46"/>
      <c r="I5" s="54" t="e">
        <f>COUNTIF(#REF!,"Finance")</f>
        <v>#REF!</v>
      </c>
      <c r="J5" s="46"/>
      <c r="K5" s="54" t="e">
        <f>COUNTIF(#REF!,"Orders")</f>
        <v>#REF!</v>
      </c>
      <c r="L5" s="46"/>
    </row>
    <row r="6" spans="1:12" ht="14.25" customHeight="1"/>
    <row r="7" spans="1:12" ht="27.75" customHeight="1">
      <c r="A7" s="51" t="s">
        <v>189</v>
      </c>
      <c r="B7" s="41"/>
      <c r="C7" s="42"/>
      <c r="E7" s="52" t="s">
        <v>190</v>
      </c>
      <c r="F7" s="41"/>
      <c r="G7" s="42"/>
      <c r="I7" s="53" t="s">
        <v>191</v>
      </c>
      <c r="J7" s="41"/>
      <c r="K7" s="41"/>
      <c r="L7" s="42"/>
    </row>
    <row r="8" spans="1:12" ht="24" customHeight="1">
      <c r="A8" s="22" t="s">
        <v>192</v>
      </c>
      <c r="B8" s="22" t="s">
        <v>193</v>
      </c>
      <c r="C8" s="22" t="s">
        <v>194</v>
      </c>
      <c r="E8" s="22" t="s">
        <v>195</v>
      </c>
      <c r="F8" s="22" t="s">
        <v>193</v>
      </c>
      <c r="G8" s="22" t="s">
        <v>194</v>
      </c>
      <c r="I8" s="22" t="s">
        <v>196</v>
      </c>
      <c r="J8" s="22" t="s">
        <v>197</v>
      </c>
    </row>
    <row r="9" spans="1:12" ht="21.75" customHeight="1">
      <c r="A9" s="23" t="s">
        <v>28</v>
      </c>
      <c r="B9" s="2" t="e">
        <f>COUNTIF(#REF!,A9)</f>
        <v>#REF!</v>
      </c>
      <c r="C9" s="6" t="e">
        <f>IF(B9=0,"0%",TEXT(B9/SUM(B9:B14),"0.0%"))</f>
        <v>#REF!</v>
      </c>
      <c r="E9" s="5" t="s">
        <v>15</v>
      </c>
      <c r="F9" s="2" t="e">
        <f>COUNTIF(#REF!,E9)</f>
        <v>#REF!</v>
      </c>
      <c r="G9" s="6" t="e">
        <f>IF(F9=0,"0%",TEXT(F9/SUM(F9:F10),"0.0%"))</f>
        <v>#REF!</v>
      </c>
      <c r="I9" s="24" t="s">
        <v>10</v>
      </c>
      <c r="J9" s="6">
        <v>2</v>
      </c>
    </row>
    <row r="10" spans="1:12" ht="21.75" customHeight="1">
      <c r="A10" s="25" t="s">
        <v>40</v>
      </c>
      <c r="B10" s="2" t="e">
        <f>COUNTIF(#REF!,A10)</f>
        <v>#REF!</v>
      </c>
      <c r="C10" s="6" t="e">
        <f>IF(B10=0,"0%",TEXT(B10/SUM(B9:B14),"0.0%"))</f>
        <v>#REF!</v>
      </c>
      <c r="E10" s="9" t="s">
        <v>22</v>
      </c>
      <c r="F10" s="2" t="e">
        <f>COUNTIF(#REF!,E10)</f>
        <v>#REF!</v>
      </c>
      <c r="G10" s="6" t="e">
        <f>IF(F10=0,"0%",TEXT(F10/SUM(F9:F10),"0.0%"))</f>
        <v>#REF!</v>
      </c>
      <c r="I10" s="26" t="s">
        <v>42</v>
      </c>
      <c r="J10" s="2">
        <v>1</v>
      </c>
    </row>
    <row r="11" spans="1:12" ht="21.75" customHeight="1">
      <c r="A11" s="27" t="s">
        <v>21</v>
      </c>
      <c r="B11" s="2" t="e">
        <f>COUNTIF(#REF!,A11)</f>
        <v>#REF!</v>
      </c>
      <c r="C11" s="6" t="e">
        <f>IF(B11=0,"0%",TEXT(B11/SUM(B9:B14),"0.0%"))</f>
        <v>#REF!</v>
      </c>
      <c r="I11" s="24" t="s">
        <v>30</v>
      </c>
      <c r="J11" s="6">
        <v>1</v>
      </c>
    </row>
    <row r="12" spans="1:12" ht="21.75" customHeight="1">
      <c r="A12" s="28" t="s">
        <v>34</v>
      </c>
      <c r="B12" s="2" t="e">
        <f>COUNTIF(#REF!,A12)</f>
        <v>#REF!</v>
      </c>
      <c r="C12" s="6" t="e">
        <f>IF(B12=0,"0%",TEXT(B12/SUM(B9:B14),"0.0%"))</f>
        <v>#REF!</v>
      </c>
      <c r="I12" s="26" t="s">
        <v>63</v>
      </c>
      <c r="J12" s="2">
        <v>1</v>
      </c>
    </row>
    <row r="13" spans="1:12" ht="21.75" customHeight="1">
      <c r="A13" s="29" t="s">
        <v>61</v>
      </c>
      <c r="B13" s="2" t="e">
        <f>COUNTIF(#REF!,A13)</f>
        <v>#REF!</v>
      </c>
      <c r="C13" s="6" t="e">
        <f>IF(B13=0,"0%",TEXT(B13/SUM(B9:B14),"0.0%"))</f>
        <v>#REF!</v>
      </c>
      <c r="I13" s="24" t="s">
        <v>36</v>
      </c>
      <c r="J13" s="6">
        <v>1</v>
      </c>
    </row>
    <row r="14" spans="1:12" ht="21.75" customHeight="1">
      <c r="A14" s="24" t="s">
        <v>14</v>
      </c>
      <c r="B14" s="2" t="e">
        <f>COUNTIF(#REF!,A14)</f>
        <v>#REF!</v>
      </c>
      <c r="C14" s="6" t="e">
        <f>IF(B14=0,"0%",TEXT(B14/SUM(B9:B14),"0.0%"))</f>
        <v>#REF!</v>
      </c>
    </row>
    <row r="15" spans="1:12" ht="14.25" customHeight="1"/>
    <row r="16" spans="1:12" ht="14.25" customHeight="1"/>
    <row r="17" spans="1:12" ht="27.75" customHeight="1">
      <c r="A17" s="44" t="s">
        <v>198</v>
      </c>
      <c r="B17" s="41"/>
      <c r="C17" s="41"/>
      <c r="D17" s="41"/>
      <c r="E17" s="41"/>
      <c r="F17" s="41"/>
      <c r="G17" s="41"/>
      <c r="H17" s="41"/>
      <c r="I17" s="41"/>
      <c r="J17" s="41"/>
      <c r="K17" s="41"/>
      <c r="L17" s="42"/>
    </row>
    <row r="18" spans="1:12" ht="14.25" customHeight="1"/>
    <row r="19" spans="1:12" ht="14.25" customHeight="1"/>
    <row r="20" spans="1:12" ht="14.25" customHeight="1"/>
    <row r="21" spans="1:12" ht="14.25" customHeight="1"/>
    <row r="22" spans="1:12" ht="14.25" customHeight="1"/>
    <row r="23" spans="1:12" ht="14.25" customHeight="1"/>
    <row r="24" spans="1:12" ht="14.25" customHeight="1"/>
    <row r="25" spans="1:12" ht="14.25" customHeight="1"/>
    <row r="26" spans="1:12" ht="14.25" customHeight="1"/>
    <row r="27" spans="1:12" ht="14.25" customHeight="1"/>
    <row r="28" spans="1:12" ht="14.25" customHeight="1"/>
    <row r="29" spans="1:12" ht="14.25" customHeight="1"/>
    <row r="30" spans="1:12" ht="14.25" customHeight="1"/>
    <row r="31" spans="1:12" ht="14.25" customHeight="1"/>
    <row r="32" spans="1:1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8">
    <mergeCell ref="A7:C7"/>
    <mergeCell ref="E7:G7"/>
    <mergeCell ref="I7:L7"/>
    <mergeCell ref="A17:L17"/>
    <mergeCell ref="A4:B4"/>
    <mergeCell ref="A5:B5"/>
    <mergeCell ref="C5:D5"/>
    <mergeCell ref="E5:F5"/>
    <mergeCell ref="G5:H5"/>
    <mergeCell ref="I5:J5"/>
    <mergeCell ref="K5:L5"/>
    <mergeCell ref="A1:L1"/>
    <mergeCell ref="A2:L2"/>
    <mergeCell ref="C4:D4"/>
    <mergeCell ref="E4:F4"/>
    <mergeCell ref="G4:H4"/>
    <mergeCell ref="I4:J4"/>
    <mergeCell ref="K4:L4"/>
  </mergeCells>
  <pageMargins left="0.75" right="0.75" top="1" bottom="1"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6A34A"/>
  </sheetPr>
  <dimension ref="A1:C1000"/>
  <sheetViews>
    <sheetView showGridLines="0" workbookViewId="0"/>
  </sheetViews>
  <sheetFormatPr defaultColWidth="14.44140625" defaultRowHeight="15" customHeight="1"/>
  <cols>
    <col min="1" max="1" width="6" customWidth="1"/>
    <col min="2" max="2" width="28" customWidth="1"/>
    <col min="3" max="3" width="55" customWidth="1"/>
    <col min="4" max="26" width="8.6640625" customWidth="1"/>
  </cols>
  <sheetData>
    <row r="1" spans="1:3" ht="36" customHeight="1">
      <c r="A1" s="55" t="s">
        <v>199</v>
      </c>
      <c r="B1" s="41"/>
      <c r="C1" s="42"/>
    </row>
    <row r="2" spans="1:3" ht="21.75" customHeight="1">
      <c r="A2" s="43" t="s">
        <v>200</v>
      </c>
      <c r="B2" s="41"/>
      <c r="C2" s="42"/>
    </row>
    <row r="3" spans="1:3" ht="36" customHeight="1">
      <c r="A3" s="30" t="s">
        <v>201</v>
      </c>
      <c r="B3" s="31" t="s">
        <v>202</v>
      </c>
      <c r="C3" s="31" t="s">
        <v>203</v>
      </c>
    </row>
    <row r="4" spans="1:3" ht="36" customHeight="1">
      <c r="A4" s="6" t="s">
        <v>204</v>
      </c>
      <c r="B4" s="7" t="s">
        <v>205</v>
      </c>
      <c r="C4" s="7" t="s">
        <v>206</v>
      </c>
    </row>
    <row r="5" spans="1:3" ht="36" customHeight="1">
      <c r="A5" s="2" t="s">
        <v>207</v>
      </c>
      <c r="B5" s="3" t="s">
        <v>208</v>
      </c>
      <c r="C5" s="3" t="s">
        <v>209</v>
      </c>
    </row>
    <row r="6" spans="1:3" ht="36" customHeight="1">
      <c r="A6" s="6" t="s">
        <v>210</v>
      </c>
      <c r="B6" s="7" t="s">
        <v>211</v>
      </c>
      <c r="C6" s="7" t="s">
        <v>212</v>
      </c>
    </row>
    <row r="7" spans="1:3" ht="36" customHeight="1">
      <c r="A7" s="2" t="s">
        <v>213</v>
      </c>
      <c r="B7" s="3" t="s">
        <v>214</v>
      </c>
      <c r="C7" s="3" t="s">
        <v>215</v>
      </c>
    </row>
    <row r="8" spans="1:3" ht="36" customHeight="1">
      <c r="A8" s="6" t="s">
        <v>216</v>
      </c>
      <c r="B8" s="7" t="s">
        <v>217</v>
      </c>
      <c r="C8" s="7" t="s">
        <v>218</v>
      </c>
    </row>
    <row r="9" spans="1:3" ht="36" customHeight="1">
      <c r="A9" s="2" t="s">
        <v>219</v>
      </c>
      <c r="B9" s="3" t="s">
        <v>220</v>
      </c>
      <c r="C9" s="3" t="s">
        <v>221</v>
      </c>
    </row>
    <row r="10" spans="1:3" ht="36" customHeight="1">
      <c r="A10" s="6" t="s">
        <v>222</v>
      </c>
      <c r="B10" s="7" t="s">
        <v>223</v>
      </c>
      <c r="C10" s="7" t="s">
        <v>224</v>
      </c>
    </row>
    <row r="11" spans="1:3" ht="36" customHeight="1">
      <c r="A11" s="2" t="s">
        <v>225</v>
      </c>
      <c r="B11" s="3" t="s">
        <v>226</v>
      </c>
      <c r="C11" s="3" t="s">
        <v>227</v>
      </c>
    </row>
    <row r="12" spans="1:3" ht="14.25" customHeight="1"/>
    <row r="13" spans="1:3" ht="14.25" customHeight="1"/>
    <row r="14" spans="1:3" ht="27.75" customHeight="1">
      <c r="A14" s="51" t="s">
        <v>228</v>
      </c>
      <c r="B14" s="41"/>
      <c r="C14" s="42"/>
    </row>
    <row r="15" spans="1:3" ht="24" customHeight="1">
      <c r="A15" s="30" t="s">
        <v>229</v>
      </c>
      <c r="B15" s="31" t="s">
        <v>230</v>
      </c>
      <c r="C15" s="31" t="s">
        <v>231</v>
      </c>
    </row>
    <row r="16" spans="1:3" ht="24" customHeight="1">
      <c r="A16" s="32" t="s">
        <v>232</v>
      </c>
      <c r="B16" s="33" t="s">
        <v>233</v>
      </c>
      <c r="C16" s="33" t="s">
        <v>234</v>
      </c>
    </row>
    <row r="17" spans="1:3" ht="24" customHeight="1">
      <c r="A17" s="34" t="s">
        <v>235</v>
      </c>
      <c r="B17" s="35" t="s">
        <v>236</v>
      </c>
      <c r="C17" s="35" t="s">
        <v>237</v>
      </c>
    </row>
    <row r="18" spans="1:3" ht="24" customHeight="1">
      <c r="A18" s="34" t="s">
        <v>235</v>
      </c>
      <c r="B18" s="35" t="s">
        <v>238</v>
      </c>
      <c r="C18" s="35" t="s">
        <v>239</v>
      </c>
    </row>
    <row r="19" spans="1:3" ht="24" customHeight="1">
      <c r="A19" s="34" t="s">
        <v>235</v>
      </c>
      <c r="B19" s="35" t="s">
        <v>240</v>
      </c>
      <c r="C19" s="35" t="s">
        <v>241</v>
      </c>
    </row>
    <row r="20" spans="1:3" ht="24" customHeight="1">
      <c r="A20" s="34" t="s">
        <v>235</v>
      </c>
      <c r="B20" s="35" t="s">
        <v>242</v>
      </c>
      <c r="C20" s="35" t="s">
        <v>243</v>
      </c>
    </row>
    <row r="21" spans="1:3" ht="24" customHeight="1">
      <c r="A21" s="36" t="s">
        <v>244</v>
      </c>
      <c r="B21" s="37" t="s">
        <v>245</v>
      </c>
      <c r="C21" s="37" t="s">
        <v>246</v>
      </c>
    </row>
    <row r="22" spans="1:3" ht="24" customHeight="1">
      <c r="A22" s="36" t="s">
        <v>244</v>
      </c>
      <c r="B22" s="37" t="s">
        <v>247</v>
      </c>
      <c r="C22" s="37" t="s">
        <v>248</v>
      </c>
    </row>
    <row r="23" spans="1:3" ht="24" customHeight="1">
      <c r="A23" s="36" t="s">
        <v>244</v>
      </c>
      <c r="B23" s="37" t="s">
        <v>249</v>
      </c>
      <c r="C23" s="37" t="s">
        <v>250</v>
      </c>
    </row>
    <row r="24" spans="1:3" ht="24" customHeight="1">
      <c r="A24" s="36" t="s">
        <v>244</v>
      </c>
      <c r="B24" s="37" t="s">
        <v>251</v>
      </c>
      <c r="C24" s="37" t="s">
        <v>252</v>
      </c>
    </row>
    <row r="25" spans="1:3" ht="24" customHeight="1">
      <c r="A25" s="36" t="s">
        <v>244</v>
      </c>
      <c r="B25" s="37" t="s">
        <v>253</v>
      </c>
      <c r="C25" s="37" t="s">
        <v>254</v>
      </c>
    </row>
    <row r="26" spans="1:3" ht="24" customHeight="1">
      <c r="A26" s="38" t="s">
        <v>255</v>
      </c>
      <c r="B26" s="39" t="s">
        <v>236</v>
      </c>
      <c r="C26" s="39" t="s">
        <v>256</v>
      </c>
    </row>
    <row r="27" spans="1:3" ht="24" customHeight="1">
      <c r="A27" s="38" t="s">
        <v>255</v>
      </c>
      <c r="B27" s="39" t="s">
        <v>257</v>
      </c>
      <c r="C27" s="39" t="s">
        <v>258</v>
      </c>
    </row>
    <row r="28" spans="1:3" ht="14.25" customHeight="1"/>
    <row r="29" spans="1:3" ht="14.25" customHeight="1"/>
    <row r="30" spans="1:3" ht="14.25" customHeight="1"/>
    <row r="31" spans="1:3" ht="14.25" customHeight="1"/>
    <row r="32" spans="1:3"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3">
    <mergeCell ref="A1:C1"/>
    <mergeCell ref="A2:C2"/>
    <mergeCell ref="A14:C14"/>
  </mergeCells>
  <pageMargins left="0.75" right="0.75" top="1" bottom="1"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Logs</vt:lpstr>
      <vt:lpstr>📊 Dashboard</vt:lpstr>
      <vt:lpstr>🔧 n8n Setup 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SAKSHAM SAXENA</cp:lastModifiedBy>
  <dcterms:modified xsi:type="dcterms:W3CDTF">2026-07-03T15:37:03Z</dcterms:modified>
</cp:coreProperties>
</file>